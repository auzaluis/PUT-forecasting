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T US\PUT-forecasting - modelo 3\data\"/>
    </mc:Choice>
  </mc:AlternateContent>
  <xr:revisionPtr revIDLastSave="0" documentId="13_ncr:1_{CFD24997-AAFC-4F82-B61F-C80DF59B580C}" xr6:coauthVersionLast="47" xr6:coauthVersionMax="47" xr10:uidLastSave="{00000000-0000-0000-0000-000000000000}"/>
  <bookViews>
    <workbookView xWindow="-110" yWindow="-110" windowWidth="19420" windowHeight="10420" activeTab="4" xr2:uid="{41D9290E-7B17-42E8-8E26-0530FE515D1F}"/>
  </bookViews>
  <sheets>
    <sheet name="dates" sheetId="1" r:id="rId1"/>
    <sheet name="nba" sheetId="4" r:id="rId2"/>
    <sheet name="mnf" sheetId="2" r:id="rId3"/>
    <sheet name="tnf" sheetId="3" r:id="rId4"/>
    <sheet name="descripció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8" i="1" l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71" i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54" i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37" i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20" i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J69" i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L4" i="3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3" i="3"/>
  <c r="I14" i="3"/>
  <c r="I15" i="3"/>
  <c r="I16" i="3" s="1"/>
  <c r="I17" i="3" s="1"/>
  <c r="I18" i="3" s="1"/>
  <c r="I9" i="3"/>
  <c r="I10" i="3" s="1"/>
  <c r="I11" i="3" s="1"/>
  <c r="I12" i="3" s="1"/>
  <c r="I13" i="3" s="1"/>
  <c r="I4" i="3"/>
  <c r="I5" i="3"/>
  <c r="I6" i="3" s="1"/>
  <c r="I7" i="3" s="1"/>
  <c r="I8" i="3" s="1"/>
  <c r="I3" i="3"/>
  <c r="C18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F16" i="3"/>
  <c r="F17" i="3" s="1"/>
  <c r="F18" i="3" s="1"/>
  <c r="F13" i="3"/>
  <c r="F14" i="3" s="1"/>
  <c r="F15" i="3" s="1"/>
  <c r="F9" i="3"/>
  <c r="F10" i="3" s="1"/>
  <c r="F11" i="3" s="1"/>
  <c r="F12" i="3" s="1"/>
  <c r="F6" i="3"/>
  <c r="F7" i="3" s="1"/>
  <c r="F8" i="3" s="1"/>
  <c r="F5" i="3"/>
  <c r="F4" i="3"/>
  <c r="F3" i="3"/>
  <c r="C4" i="3"/>
  <c r="C3" i="3"/>
  <c r="J87" i="1" l="1"/>
  <c r="J70" i="1"/>
  <c r="J52" i="1"/>
  <c r="J35" i="1"/>
  <c r="J34" i="1"/>
  <c r="J18" i="1"/>
  <c r="J2" i="1"/>
  <c r="H89" i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J103" i="1" s="1"/>
  <c r="H72" i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J86" i="1" s="1"/>
  <c r="H54" i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J68" i="1" s="1"/>
  <c r="H37" i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J51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J33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J45" i="1" l="1"/>
  <c r="J25" i="1"/>
  <c r="J66" i="1"/>
  <c r="J80" i="1"/>
  <c r="J101" i="1"/>
  <c r="J60" i="1"/>
  <c r="J79" i="1"/>
  <c r="J97" i="1"/>
  <c r="J44" i="1"/>
  <c r="J58" i="1"/>
  <c r="J77" i="1"/>
  <c r="J95" i="1"/>
  <c r="J67" i="1"/>
  <c r="J102" i="1"/>
  <c r="J78" i="1"/>
  <c r="J37" i="1"/>
  <c r="J72" i="1"/>
  <c r="J94" i="1"/>
  <c r="J59" i="1"/>
  <c r="J96" i="1"/>
  <c r="J36" i="1"/>
  <c r="J71" i="1"/>
  <c r="J93" i="1"/>
  <c r="J85" i="1"/>
  <c r="J16" i="1"/>
  <c r="J8" i="1"/>
  <c r="J15" i="1"/>
  <c r="J7" i="1"/>
  <c r="J32" i="1"/>
  <c r="J24" i="1"/>
  <c r="J14" i="1"/>
  <c r="J6" i="1"/>
  <c r="J31" i="1"/>
  <c r="J23" i="1"/>
  <c r="J43" i="1"/>
  <c r="J13" i="1"/>
  <c r="J5" i="1"/>
  <c r="J30" i="1"/>
  <c r="J22" i="1"/>
  <c r="J42" i="1"/>
  <c r="J50" i="1"/>
  <c r="J65" i="1"/>
  <c r="J57" i="1"/>
  <c r="J12" i="1"/>
  <c r="J4" i="1"/>
  <c r="J29" i="1"/>
  <c r="J21" i="1"/>
  <c r="J41" i="1"/>
  <c r="J49" i="1"/>
  <c r="J64" i="1"/>
  <c r="J56" i="1"/>
  <c r="J84" i="1"/>
  <c r="J76" i="1"/>
  <c r="J11" i="1"/>
  <c r="J3" i="1"/>
  <c r="J28" i="1"/>
  <c r="J20" i="1"/>
  <c r="J40" i="1"/>
  <c r="J48" i="1"/>
  <c r="J63" i="1"/>
  <c r="J55" i="1"/>
  <c r="J83" i="1"/>
  <c r="J75" i="1"/>
  <c r="J100" i="1"/>
  <c r="J92" i="1"/>
  <c r="J10" i="1"/>
  <c r="J27" i="1"/>
  <c r="J19" i="1"/>
  <c r="J39" i="1"/>
  <c r="J47" i="1"/>
  <c r="J62" i="1"/>
  <c r="J54" i="1"/>
  <c r="J82" i="1"/>
  <c r="J74" i="1"/>
  <c r="J99" i="1"/>
  <c r="J91" i="1"/>
  <c r="J17" i="1"/>
  <c r="J9" i="1"/>
  <c r="J26" i="1"/>
  <c r="J38" i="1"/>
  <c r="J46" i="1"/>
  <c r="J61" i="1"/>
  <c r="J53" i="1"/>
  <c r="J81" i="1"/>
  <c r="J73" i="1"/>
  <c r="J98" i="1"/>
  <c r="J90" i="1"/>
  <c r="J89" i="1"/>
  <c r="J88" i="1"/>
</calcChain>
</file>

<file path=xl/sharedStrings.xml><?xml version="1.0" encoding="utf-8"?>
<sst xmlns="http://schemas.openxmlformats.org/spreadsheetml/2006/main" count="300" uniqueCount="196">
  <si>
    <t>newyear</t>
  </si>
  <si>
    <t>christmas</t>
  </si>
  <si>
    <t>christmas_eve</t>
  </si>
  <si>
    <t>thanksgiving</t>
  </si>
  <si>
    <t>mundial</t>
  </si>
  <si>
    <t>olimpics</t>
  </si>
  <si>
    <t>Semana</t>
  </si>
  <si>
    <t>Día</t>
  </si>
  <si>
    <t>Fecha</t>
  </si>
  <si>
    <t>Lunes</t>
  </si>
  <si>
    <t>12 de septiembre de 2022</t>
  </si>
  <si>
    <r>
      <t>19 de septiembre de 2022</t>
    </r>
    <r>
      <rPr>
        <sz val="11"/>
        <color rgb="FF1B1C1D"/>
        <rFont val="Arial"/>
        <family val="2"/>
      </rPr>
      <t xml:space="preserve"> (Doble cartelera)</t>
    </r>
  </si>
  <si>
    <t>26 de septiembre de 2022</t>
  </si>
  <si>
    <t>3 de octubre de 2022</t>
  </si>
  <si>
    <t>10 de octubre de 2022</t>
  </si>
  <si>
    <t>17 de octubre de 2022</t>
  </si>
  <si>
    <t>24 de octubre de 2022</t>
  </si>
  <si>
    <t>31 de octubre de 2022</t>
  </si>
  <si>
    <t>7 de noviembre de 2022</t>
  </si>
  <si>
    <t>14 de noviembre de 2022</t>
  </si>
  <si>
    <r>
      <t>21 de noviembre de 2022</t>
    </r>
    <r>
      <rPr>
        <sz val="11"/>
        <color rgb="FF1B1C1D"/>
        <rFont val="Arial"/>
        <family val="2"/>
      </rPr>
      <t xml:space="preserve"> (Partido en México)</t>
    </r>
  </si>
  <si>
    <t>28 de noviembre de 2022</t>
  </si>
  <si>
    <t>5 de diciembre de 2022</t>
  </si>
  <si>
    <t>12 de diciembre de 2022</t>
  </si>
  <si>
    <t>19 de diciembre de 2022</t>
  </si>
  <si>
    <t>26 de diciembre de 2022</t>
  </si>
  <si>
    <t>2 de enero de 2023</t>
  </si>
  <si>
    <t>11 de septiembre de 2023</t>
  </si>
  <si>
    <r>
      <t>18 de septiembre de 2023</t>
    </r>
    <r>
      <rPr>
        <sz val="11"/>
        <color rgb="FF1B1C1D"/>
        <rFont val="Arial"/>
        <family val="2"/>
      </rPr>
      <t xml:space="preserve"> (Doble cartelera)</t>
    </r>
  </si>
  <si>
    <r>
      <t>25 de septiembre de 2023</t>
    </r>
    <r>
      <rPr>
        <sz val="11"/>
        <color rgb="FF1B1C1D"/>
        <rFont val="Arial"/>
        <family val="2"/>
      </rPr>
      <t xml:space="preserve"> (Doble cartelera)</t>
    </r>
  </si>
  <si>
    <t>2 de octubre de 2023</t>
  </si>
  <si>
    <t>9 de octubre de 2023</t>
  </si>
  <si>
    <t>16 de octubre de 2023</t>
  </si>
  <si>
    <t>23 de octubre de 2023</t>
  </si>
  <si>
    <t>30 de octubre de 2023</t>
  </si>
  <si>
    <t>6 de noviembre de 2023</t>
  </si>
  <si>
    <t>13 de noviembre de 2023</t>
  </si>
  <si>
    <t>20 de noviembre de 2023</t>
  </si>
  <si>
    <t>27 de noviembre de 2023</t>
  </si>
  <si>
    <t>4 de diciembre de 2023</t>
  </si>
  <si>
    <r>
      <t>11 de diciembre de 2023</t>
    </r>
    <r>
      <rPr>
        <sz val="11"/>
        <color rgb="FF1B1C1D"/>
        <rFont val="Arial"/>
        <family val="2"/>
      </rPr>
      <t xml:space="preserve"> (Doble cartelera)</t>
    </r>
  </si>
  <si>
    <t>18 de diciembre de 2023</t>
  </si>
  <si>
    <r>
      <t>25 de diciembre de 2023</t>
    </r>
    <r>
      <rPr>
        <sz val="11"/>
        <color rgb="FF1B1C1D"/>
        <rFont val="Arial"/>
        <family val="2"/>
      </rPr>
      <t xml:space="preserve"> (Día de Navidad)</t>
    </r>
  </si>
  <si>
    <t>Sábado</t>
  </si>
  <si>
    <r>
      <t>30 de diciembre de 2023</t>
    </r>
    <r>
      <rPr>
        <sz val="11"/>
        <color rgb="FF1B1C1D"/>
        <rFont val="Arial"/>
        <family val="2"/>
      </rPr>
      <t xml:space="preserve"> (Excepción MNF)</t>
    </r>
  </si>
  <si>
    <t>9 de septiembre de 2024</t>
  </si>
  <si>
    <t>16 de septiembre de 2024</t>
  </si>
  <si>
    <r>
      <t>23 de septiembre de 2024</t>
    </r>
    <r>
      <rPr>
        <sz val="11"/>
        <color rgb="FF1B1C1D"/>
        <rFont val="Arial"/>
        <family val="2"/>
      </rPr>
      <t xml:space="preserve"> (Doble cartelera)</t>
    </r>
  </si>
  <si>
    <r>
      <t>30 de septiembre de 2024</t>
    </r>
    <r>
      <rPr>
        <sz val="11"/>
        <color rgb="FF1B1C1D"/>
        <rFont val="Arial"/>
        <family val="2"/>
      </rPr>
      <t xml:space="preserve"> (Doble cartelera)</t>
    </r>
  </si>
  <si>
    <t>7 de octubre de 2024</t>
  </si>
  <si>
    <t>14 de octubre de 2024</t>
  </si>
  <si>
    <r>
      <t>21 de octubre de 2024</t>
    </r>
    <r>
      <rPr>
        <sz val="11"/>
        <color rgb="FF1B1C1D"/>
        <rFont val="Arial"/>
        <family val="2"/>
      </rPr>
      <t xml:space="preserve"> (Doble cartelera)</t>
    </r>
  </si>
  <si>
    <t>28 de octubre de 2024</t>
  </si>
  <si>
    <t>4 de noviembre de 2024</t>
  </si>
  <si>
    <t>11 de noviembre de 2024</t>
  </si>
  <si>
    <t>18 de noviembre de 2024</t>
  </si>
  <si>
    <t>25 de noviembre de 2024</t>
  </si>
  <si>
    <t>2 de diciembre de 2024</t>
  </si>
  <si>
    <t>9 de diciembre de 2024</t>
  </si>
  <si>
    <r>
      <t>16 de diciembre de 2024</t>
    </r>
    <r>
      <rPr>
        <sz val="11"/>
        <color rgb="FF1B1C1D"/>
        <rFont val="Arial"/>
        <family val="2"/>
      </rPr>
      <t xml:space="preserve"> (Doble cartelera)</t>
    </r>
  </si>
  <si>
    <t>23 de diciembre de 2024</t>
  </si>
  <si>
    <t>30 de diciembre de 2024</t>
  </si>
  <si>
    <t>mnf</t>
  </si>
  <si>
    <t>8 de septiembre de 2025</t>
  </si>
  <si>
    <r>
      <t>15 de septiembre de 2025</t>
    </r>
    <r>
      <rPr>
        <sz val="11"/>
        <color rgb="FF1B1C1D"/>
        <rFont val="Arial"/>
        <family val="2"/>
      </rPr>
      <t xml:space="preserve"> (Doble cartelera)</t>
    </r>
  </si>
  <si>
    <t>22 de septiembre de 2025</t>
  </si>
  <si>
    <r>
      <t>29 de septiembre de 2025</t>
    </r>
    <r>
      <rPr>
        <sz val="11"/>
        <color rgb="FF1B1C1D"/>
        <rFont val="Arial"/>
        <family val="2"/>
      </rPr>
      <t xml:space="preserve"> (Doble cartelera)</t>
    </r>
  </si>
  <si>
    <t>6 de octubre de 2025</t>
  </si>
  <si>
    <r>
      <t>13 de octubre de 2025</t>
    </r>
    <r>
      <rPr>
        <sz val="11"/>
        <color rgb="FF1B1C1D"/>
        <rFont val="Arial"/>
        <family val="2"/>
      </rPr>
      <t xml:space="preserve"> (Doble cartelera)</t>
    </r>
  </si>
  <si>
    <r>
      <t>20 de octubre de 2025</t>
    </r>
    <r>
      <rPr>
        <sz val="11"/>
        <color rgb="FF1B1C1D"/>
        <rFont val="Arial"/>
        <family val="2"/>
      </rPr>
      <t xml:space="preserve"> (Doble cartelera)</t>
    </r>
  </si>
  <si>
    <t>27 de octubre de 2025</t>
  </si>
  <si>
    <t>3 de noviembre de 2025</t>
  </si>
  <si>
    <t>10 de noviembre de 2025</t>
  </si>
  <si>
    <t>17 de noviembre de 2025</t>
  </si>
  <si>
    <t>24 de noviembre de 2025</t>
  </si>
  <si>
    <t>1 de diciembre de 2025</t>
  </si>
  <si>
    <t>8 de diciembre de 2025</t>
  </si>
  <si>
    <t>15 de diciembre de 2025</t>
  </si>
  <si>
    <t>22 de diciembre de 2025</t>
  </si>
  <si>
    <t>29 de diciembre de 2025</t>
  </si>
  <si>
    <t>superbowl</t>
  </si>
  <si>
    <t>endyear</t>
  </si>
  <si>
    <t>sunday_nfl</t>
  </si>
  <si>
    <t>copa_oro</t>
  </si>
  <si>
    <t>tnf</t>
  </si>
  <si>
    <t>Fecha (Jueves)</t>
  </si>
  <si>
    <t>1 (Kickoff)</t>
  </si>
  <si>
    <t>8 de septiembre de 2022</t>
  </si>
  <si>
    <t>15 de septiembre de 2022</t>
  </si>
  <si>
    <t>22 de septiembre de 2022</t>
  </si>
  <si>
    <t>29 de septiembre de 2022</t>
  </si>
  <si>
    <t>6 de octubre de 2022</t>
  </si>
  <si>
    <t>13 de octubre de 2022</t>
  </si>
  <si>
    <t>20 de octubre de 2022</t>
  </si>
  <si>
    <t>27 de octubre de 2022</t>
  </si>
  <si>
    <t>3 de noviembre de 2022</t>
  </si>
  <si>
    <t>10 de noviembre de 2022</t>
  </si>
  <si>
    <t>17 de noviembre de 2022</t>
  </si>
  <si>
    <t>12 (Thanksgiving)</t>
  </si>
  <si>
    <t>24 de noviembre de 2022 (3 juegos ese día)</t>
  </si>
  <si>
    <t>1 de diciembre de 2022</t>
  </si>
  <si>
    <t>8 de diciembre de 2022</t>
  </si>
  <si>
    <t>15 de diciembre de 2022</t>
  </si>
  <si>
    <t>22 de diciembre de 2022</t>
  </si>
  <si>
    <t>29 de diciembre de 2022</t>
  </si>
  <si>
    <t>7 de septiembre de 2023</t>
  </si>
  <si>
    <t>14 de septiembre de 2023</t>
  </si>
  <si>
    <t>21 de septiembre de 2023</t>
  </si>
  <si>
    <t>28 de septiembre de 2023</t>
  </si>
  <si>
    <t>5 de octubre de 2023</t>
  </si>
  <si>
    <t>12 de octubre de 2023</t>
  </si>
  <si>
    <t>19 de octubre de 2023</t>
  </si>
  <si>
    <t>26 de octubre de 2023</t>
  </si>
  <si>
    <t>2 de noviembre de 2023</t>
  </si>
  <si>
    <t>9 de noviembre de 2023</t>
  </si>
  <si>
    <t>16 de noviembre de 2023</t>
  </si>
  <si>
    <t>23 de noviembre de 2023 (3 juegos ese día)</t>
  </si>
  <si>
    <t>30 de noviembre de 2023</t>
  </si>
  <si>
    <t>7 de diciembre de 2023</t>
  </si>
  <si>
    <t>14 de diciembre de 2023</t>
  </si>
  <si>
    <t>21 de diciembre de 2023</t>
  </si>
  <si>
    <t>28 de diciembre de 2023</t>
  </si>
  <si>
    <t>5 de septiembre de 2024</t>
  </si>
  <si>
    <t>12 de septiembre de 2024</t>
  </si>
  <si>
    <t>19 de septiembre de 2024</t>
  </si>
  <si>
    <t>26 de septiembre de 2024</t>
  </si>
  <si>
    <t>3 de octubre de 2024</t>
  </si>
  <si>
    <t>10 de octubre de 2024</t>
  </si>
  <si>
    <t>17 de octubre de 2024</t>
  </si>
  <si>
    <t>24 de octubre de 2024</t>
  </si>
  <si>
    <t>31 de octubre de 2024</t>
  </si>
  <si>
    <t>7 de noviembre de 2024</t>
  </si>
  <si>
    <t>14 de noviembre de 2024</t>
  </si>
  <si>
    <t>21 de noviembre de 2024</t>
  </si>
  <si>
    <t>13 (Thanksgiving)</t>
  </si>
  <si>
    <t>28 de noviembre de 2024 (3 juegos ese día)</t>
  </si>
  <si>
    <t>5 de diciembre de 2024</t>
  </si>
  <si>
    <t>12 de diciembre de 2024</t>
  </si>
  <si>
    <t>19 de diciembre de 2024</t>
  </si>
  <si>
    <t>26 de diciembre de 2024</t>
  </si>
  <si>
    <t>4 de septiembre de 2025</t>
  </si>
  <si>
    <t>11 de septiembre de 2025</t>
  </si>
  <si>
    <t>18 de septiembre de 2025</t>
  </si>
  <si>
    <t>25 de septiembre de 2025</t>
  </si>
  <si>
    <t>2 de octubre de 2025</t>
  </si>
  <si>
    <t>9 de octubre de 2025</t>
  </si>
  <si>
    <t>16 de octubre de 2025</t>
  </si>
  <si>
    <t>23 de octubre de 2025</t>
  </si>
  <si>
    <t>30 de octubre de 2025</t>
  </si>
  <si>
    <t>6 de noviembre de 2025</t>
  </si>
  <si>
    <t>13 de noviembre de 2025</t>
  </si>
  <si>
    <t>20 de noviembre de 2025</t>
  </si>
  <si>
    <t>27 de noviembre de 2025 (3 juegos ese día)</t>
  </si>
  <si>
    <t>4 de diciembre de 2025</t>
  </si>
  <si>
    <t>11 de diciembre de 2025</t>
  </si>
  <si>
    <t>18 de diciembre de 2025</t>
  </si>
  <si>
    <t>25 de diciembre de 2025</t>
  </si>
  <si>
    <t>Año</t>
  </si>
  <si>
    <t>Finales</t>
  </si>
  <si>
    <t>Juego 1</t>
  </si>
  <si>
    <t>Último Juego Decisivo</t>
  </si>
  <si>
    <t>Campeón</t>
  </si>
  <si>
    <t>Golden State Warriors vs. Boston Celtics</t>
  </si>
  <si>
    <t>Jueves, 2 de junio de 2022</t>
  </si>
  <si>
    <t>Jueves, 16 de junio de 2022 (Juego 6)</t>
  </si>
  <si>
    <t>GSW</t>
  </si>
  <si>
    <t>Denver Nuggets vs. Miami Heat</t>
  </si>
  <si>
    <t>Jueves, 1 de junio de 2023</t>
  </si>
  <si>
    <t>Lunes, 12 de junio de 2023 (Juego 5)</t>
  </si>
  <si>
    <t>DEN</t>
  </si>
  <si>
    <t>Boston Celtics vs. Dallas Mavericks</t>
  </si>
  <si>
    <t>Jueves, 6 de junio de 2024</t>
  </si>
  <si>
    <t>Lunes, 17 de junio de 2024 (Juego 5)</t>
  </si>
  <si>
    <t>BOS</t>
  </si>
  <si>
    <t>Aún por disputarse</t>
  </si>
  <si>
    <t>Jueves, 5 de junio de 2025 (Proyectado)</t>
  </si>
  <si>
    <t>Domingo, 22 de junio de 2025 (Proyectado, si se requiere Juego 7)</t>
  </si>
  <si>
    <t>Pendiente</t>
  </si>
  <si>
    <t>nba</t>
  </si>
  <si>
    <t>mlb</t>
  </si>
  <si>
    <t>copa_america</t>
  </si>
  <si>
    <t>fechas del mundial 2022 (Qatar) y 2026 (US/MX/CAN)</t>
  </si>
  <si>
    <t>olímpicos 2024</t>
  </si>
  <si>
    <t>2do domingo del año</t>
  </si>
  <si>
    <t>días domingos en que hubo partidos de americano NFL entre septiembre y diciembre/enero de cada año</t>
  </si>
  <si>
    <t>playoffs de la nba (basquetbol)</t>
  </si>
  <si>
    <t>playoffs de mlb (beisbol)</t>
  </si>
  <si>
    <t>Variable</t>
  </si>
  <si>
    <t>Descripción</t>
  </si>
  <si>
    <t>Monday night football: días lunes en que hubo partidos de americano NFL entre septiembre y diciembre/enero de cada año</t>
  </si>
  <si>
    <t>Thursday night football: días jueves en que hubo partidos de americano NFL entre septiembre y diciembre/enero de cada año</t>
  </si>
  <si>
    <t>copa oro 2023 y 2027</t>
  </si>
  <si>
    <t>copa américa 2024</t>
  </si>
  <si>
    <t>Día de acción de gracias, cambia según el año</t>
  </si>
  <si>
    <t>*mundial, copa oro y copa américa se integran en una sola variable categórica con 3 categorías</t>
  </si>
  <si>
    <t>**el resto es dicotómica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</si>
</sst>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rgb="FFFF0000"/>
      <name val="Aptos Narrow"/>
      <family val="2"/>
      <scheme val="minor"/>
    </font>
    <font>
      <i/>
      <sz val="11"/>
      <color rgb="FF1B1C1D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64" fontId="0" fillId="0" borderId="0" xfId="0" applyNumberFormat="1"/>
    <xf numFmtId="164" fontId="3" fillId="0" borderId="0" xfId="0" applyNumberFormat="1" applyFont="1"/>
    <xf numFmtId="0" fontId="0" fillId="2" borderId="0" xfId="0" applyFill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0" xfId="0" applyFont="1"/>
    <xf numFmtId="0" fontId="6" fillId="0" borderId="0" xfId="0" applyFont="1"/>
    <xf numFmtId="0" fontId="5" fillId="3" borderId="2" xfId="0" applyFont="1" applyFill="1" applyBorder="1"/>
    <xf numFmtId="0" fontId="7" fillId="3" borderId="2" xfId="0" applyFont="1" applyFill="1" applyBorder="1"/>
    <xf numFmtId="16" fontId="6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396D-495D-4DEB-9C00-C3FF8027102D}">
  <dimension ref="A1:O136"/>
  <sheetViews>
    <sheetView topLeftCell="C1" workbookViewId="0">
      <selection activeCell="E15" sqref="E15"/>
    </sheetView>
  </sheetViews>
  <sheetFormatPr baseColWidth="10" defaultRowHeight="14.5" x14ac:dyDescent="0.35"/>
  <cols>
    <col min="4" max="4" width="13.81640625" customWidth="1"/>
  </cols>
  <sheetData>
    <row r="1" spans="1:15" x14ac:dyDescent="0.35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62</v>
      </c>
      <c r="I1" t="s">
        <v>80</v>
      </c>
      <c r="J1" t="s">
        <v>82</v>
      </c>
      <c r="K1" s="6" t="s">
        <v>83</v>
      </c>
      <c r="L1" s="6" t="s">
        <v>180</v>
      </c>
      <c r="M1" s="6" t="s">
        <v>84</v>
      </c>
      <c r="N1" s="6" t="s">
        <v>178</v>
      </c>
      <c r="O1" s="6" t="s">
        <v>179</v>
      </c>
    </row>
    <row r="2" spans="1:15" x14ac:dyDescent="0.35">
      <c r="A2" s="4">
        <v>44926</v>
      </c>
      <c r="B2" s="4">
        <v>44562</v>
      </c>
      <c r="C2" s="4">
        <v>44920</v>
      </c>
      <c r="D2" s="4">
        <v>44919</v>
      </c>
      <c r="E2" s="4">
        <v>44889</v>
      </c>
      <c r="F2" s="4">
        <v>44885</v>
      </c>
      <c r="G2" s="4">
        <v>45499</v>
      </c>
      <c r="H2" s="4">
        <v>44816</v>
      </c>
      <c r="I2" s="4">
        <v>44605</v>
      </c>
      <c r="J2" s="4">
        <f>H2-1</f>
        <v>44815</v>
      </c>
      <c r="K2" s="4">
        <v>45093</v>
      </c>
      <c r="L2" s="4">
        <v>45463</v>
      </c>
      <c r="M2" s="4">
        <v>44812</v>
      </c>
      <c r="N2" s="4">
        <v>44714</v>
      </c>
      <c r="O2" s="4">
        <v>44862</v>
      </c>
    </row>
    <row r="3" spans="1:15" x14ac:dyDescent="0.35">
      <c r="A3" s="4">
        <v>45291</v>
      </c>
      <c r="B3" s="4">
        <v>44927</v>
      </c>
      <c r="C3" s="4">
        <v>45285</v>
      </c>
      <c r="D3" s="4">
        <v>45284</v>
      </c>
      <c r="E3" s="4">
        <v>45253</v>
      </c>
      <c r="F3" s="4">
        <v>44886</v>
      </c>
      <c r="G3" s="4">
        <v>45500</v>
      </c>
      <c r="H3" s="4">
        <f t="shared" ref="H3:H18" si="0">H2+7</f>
        <v>44823</v>
      </c>
      <c r="I3" s="4">
        <v>44969</v>
      </c>
      <c r="J3" s="4">
        <f t="shared" ref="J3:J17" si="1">H3-1</f>
        <v>44822</v>
      </c>
      <c r="K3" s="4">
        <v>45094</v>
      </c>
      <c r="L3" s="4">
        <v>45464</v>
      </c>
      <c r="M3" s="4">
        <f>M2+7</f>
        <v>44819</v>
      </c>
      <c r="N3" s="4">
        <v>44717</v>
      </c>
      <c r="O3" s="4">
        <v>44863</v>
      </c>
    </row>
    <row r="4" spans="1:15" x14ac:dyDescent="0.35">
      <c r="A4" s="4">
        <v>45657</v>
      </c>
      <c r="B4" s="4">
        <v>45292</v>
      </c>
      <c r="C4" s="4">
        <v>45651</v>
      </c>
      <c r="D4" s="4">
        <v>45650</v>
      </c>
      <c r="E4" s="4">
        <v>45624</v>
      </c>
      <c r="F4" s="4">
        <v>44887</v>
      </c>
      <c r="G4" s="4">
        <v>45501</v>
      </c>
      <c r="H4" s="4">
        <f t="shared" si="0"/>
        <v>44830</v>
      </c>
      <c r="I4" s="4">
        <v>45333</v>
      </c>
      <c r="J4" s="4">
        <f t="shared" si="1"/>
        <v>44829</v>
      </c>
      <c r="K4" s="4">
        <v>45095</v>
      </c>
      <c r="L4" s="4">
        <v>45465</v>
      </c>
      <c r="M4" s="4">
        <f t="shared" ref="M4:M18" si="2">M3+7</f>
        <v>44826</v>
      </c>
      <c r="N4" s="4">
        <v>44720</v>
      </c>
      <c r="O4" s="4">
        <v>44866</v>
      </c>
    </row>
    <row r="5" spans="1:15" x14ac:dyDescent="0.35">
      <c r="A5" s="4">
        <v>46022</v>
      </c>
      <c r="B5" s="4">
        <v>45658</v>
      </c>
      <c r="C5" s="4">
        <v>46016</v>
      </c>
      <c r="D5" s="4">
        <v>46015</v>
      </c>
      <c r="E5" s="4">
        <v>45988</v>
      </c>
      <c r="F5" s="4">
        <v>44888</v>
      </c>
      <c r="G5" s="4">
        <v>45502</v>
      </c>
      <c r="H5" s="4">
        <f t="shared" si="0"/>
        <v>44837</v>
      </c>
      <c r="I5" s="4">
        <v>45697</v>
      </c>
      <c r="J5" s="4">
        <f t="shared" si="1"/>
        <v>44836</v>
      </c>
      <c r="K5" s="4">
        <v>45096</v>
      </c>
      <c r="L5" s="4">
        <v>45466</v>
      </c>
      <c r="M5" s="4">
        <f t="shared" si="2"/>
        <v>44833</v>
      </c>
      <c r="N5" s="4">
        <v>44722</v>
      </c>
      <c r="O5" s="4">
        <v>44867</v>
      </c>
    </row>
    <row r="6" spans="1:15" x14ac:dyDescent="0.35">
      <c r="A6" s="5">
        <v>46387</v>
      </c>
      <c r="B6" s="5">
        <v>46023</v>
      </c>
      <c r="C6" s="5">
        <v>46381</v>
      </c>
      <c r="D6" s="5">
        <v>46380</v>
      </c>
      <c r="E6" s="5">
        <v>46352</v>
      </c>
      <c r="F6" s="4">
        <v>44889</v>
      </c>
      <c r="G6" s="4">
        <v>45503</v>
      </c>
      <c r="H6" s="4">
        <f>H5+7</f>
        <v>44844</v>
      </c>
      <c r="I6" s="5">
        <v>46061</v>
      </c>
      <c r="J6" s="4">
        <f t="shared" si="1"/>
        <v>44843</v>
      </c>
      <c r="K6" s="4">
        <v>45097</v>
      </c>
      <c r="L6" s="4">
        <v>45467</v>
      </c>
      <c r="M6" s="4">
        <f t="shared" si="2"/>
        <v>44840</v>
      </c>
      <c r="N6" s="4">
        <v>44725</v>
      </c>
      <c r="O6" s="4">
        <v>44868</v>
      </c>
    </row>
    <row r="7" spans="1:15" x14ac:dyDescent="0.35">
      <c r="A7" s="5">
        <v>46752</v>
      </c>
      <c r="B7" s="5">
        <v>46388</v>
      </c>
      <c r="C7" s="5">
        <v>46746</v>
      </c>
      <c r="D7" s="5">
        <v>46745</v>
      </c>
      <c r="E7" s="5">
        <v>46716</v>
      </c>
      <c r="F7" s="4">
        <v>44890</v>
      </c>
      <c r="G7" s="4">
        <v>45504</v>
      </c>
      <c r="H7" s="4">
        <f t="shared" si="0"/>
        <v>44851</v>
      </c>
      <c r="I7" s="5">
        <v>46432</v>
      </c>
      <c r="J7" s="4">
        <f t="shared" si="1"/>
        <v>44850</v>
      </c>
      <c r="K7" s="4">
        <v>45098</v>
      </c>
      <c r="L7" s="4">
        <v>45468</v>
      </c>
      <c r="M7" s="4">
        <f t="shared" si="2"/>
        <v>44847</v>
      </c>
      <c r="N7" s="4">
        <v>44718</v>
      </c>
      <c r="O7" s="4">
        <v>44870</v>
      </c>
    </row>
    <row r="8" spans="1:15" x14ac:dyDescent="0.35">
      <c r="B8" s="1"/>
      <c r="F8" s="4">
        <v>44891</v>
      </c>
      <c r="G8" s="4">
        <v>45505</v>
      </c>
      <c r="H8" s="4">
        <f t="shared" si="0"/>
        <v>44858</v>
      </c>
      <c r="J8" s="4">
        <f t="shared" si="1"/>
        <v>44857</v>
      </c>
      <c r="K8" s="4">
        <v>45099</v>
      </c>
      <c r="L8" s="4">
        <v>45469</v>
      </c>
      <c r="M8" s="4">
        <f t="shared" si="2"/>
        <v>44854</v>
      </c>
      <c r="N8" s="4">
        <v>45078</v>
      </c>
      <c r="O8" s="4">
        <v>45226</v>
      </c>
    </row>
    <row r="9" spans="1:15" x14ac:dyDescent="0.35">
      <c r="B9" s="1"/>
      <c r="F9" s="4">
        <v>44892</v>
      </c>
      <c r="G9" s="4">
        <v>45506</v>
      </c>
      <c r="H9" s="4">
        <f t="shared" si="0"/>
        <v>44865</v>
      </c>
      <c r="J9" s="4">
        <f t="shared" si="1"/>
        <v>44864</v>
      </c>
      <c r="K9" s="4">
        <v>45100</v>
      </c>
      <c r="L9" s="4">
        <v>45470</v>
      </c>
      <c r="M9" s="4">
        <f t="shared" si="2"/>
        <v>44861</v>
      </c>
      <c r="N9" s="4">
        <v>45081</v>
      </c>
      <c r="O9" s="4">
        <v>45227</v>
      </c>
    </row>
    <row r="10" spans="1:15" x14ac:dyDescent="0.35">
      <c r="B10" s="1"/>
      <c r="F10" s="4">
        <v>44893</v>
      </c>
      <c r="G10" s="4">
        <v>45507</v>
      </c>
      <c r="H10" s="4">
        <f t="shared" si="0"/>
        <v>44872</v>
      </c>
      <c r="J10" s="4">
        <f t="shared" si="1"/>
        <v>44871</v>
      </c>
      <c r="K10" s="4">
        <v>45101</v>
      </c>
      <c r="L10" s="4">
        <v>45471</v>
      </c>
      <c r="M10" s="4">
        <f t="shared" si="2"/>
        <v>44868</v>
      </c>
      <c r="N10" s="4">
        <v>45084</v>
      </c>
      <c r="O10" s="4">
        <v>45229</v>
      </c>
    </row>
    <row r="11" spans="1:15" x14ac:dyDescent="0.35">
      <c r="B11" s="1"/>
      <c r="F11" s="4">
        <v>44894</v>
      </c>
      <c r="G11" s="4">
        <v>45508</v>
      </c>
      <c r="H11" s="4">
        <f t="shared" si="0"/>
        <v>44879</v>
      </c>
      <c r="J11" s="4">
        <f t="shared" si="1"/>
        <v>44878</v>
      </c>
      <c r="K11" s="4">
        <v>45102</v>
      </c>
      <c r="L11" s="4">
        <v>45472</v>
      </c>
      <c r="M11" s="4">
        <f t="shared" si="2"/>
        <v>44875</v>
      </c>
      <c r="N11" s="4">
        <v>45086</v>
      </c>
      <c r="O11" s="4">
        <v>45230</v>
      </c>
    </row>
    <row r="12" spans="1:15" x14ac:dyDescent="0.35">
      <c r="B12" s="1"/>
      <c r="F12" s="4">
        <v>44895</v>
      </c>
      <c r="G12" s="4">
        <v>45509</v>
      </c>
      <c r="H12" s="4">
        <f t="shared" si="0"/>
        <v>44886</v>
      </c>
      <c r="J12" s="4">
        <f t="shared" si="1"/>
        <v>44885</v>
      </c>
      <c r="K12" s="4">
        <v>45103</v>
      </c>
      <c r="L12" s="4">
        <v>45473</v>
      </c>
      <c r="M12" s="4">
        <f t="shared" si="2"/>
        <v>44882</v>
      </c>
      <c r="N12" s="4">
        <v>45089</v>
      </c>
      <c r="O12" s="4">
        <v>45231</v>
      </c>
    </row>
    <row r="13" spans="1:15" x14ac:dyDescent="0.35">
      <c r="B13" s="1"/>
      <c r="F13" s="4">
        <v>44896</v>
      </c>
      <c r="G13" s="4">
        <v>45510</v>
      </c>
      <c r="H13" s="4">
        <f t="shared" si="0"/>
        <v>44893</v>
      </c>
      <c r="J13" s="4">
        <f t="shared" si="1"/>
        <v>44892</v>
      </c>
      <c r="K13" s="4">
        <v>45104</v>
      </c>
      <c r="L13" s="4">
        <v>45474</v>
      </c>
      <c r="M13" s="4">
        <f t="shared" si="2"/>
        <v>44889</v>
      </c>
      <c r="N13" s="4">
        <v>45449</v>
      </c>
      <c r="O13" s="4">
        <v>45590</v>
      </c>
    </row>
    <row r="14" spans="1:15" x14ac:dyDescent="0.35">
      <c r="B14" s="1"/>
      <c r="F14" s="4">
        <v>44897</v>
      </c>
      <c r="G14" s="4">
        <v>45511</v>
      </c>
      <c r="H14" s="4">
        <f t="shared" si="0"/>
        <v>44900</v>
      </c>
      <c r="J14" s="4">
        <f t="shared" si="1"/>
        <v>44899</v>
      </c>
      <c r="K14" s="4">
        <v>45105</v>
      </c>
      <c r="L14" s="4">
        <v>45475</v>
      </c>
      <c r="M14" s="4">
        <f t="shared" si="2"/>
        <v>44896</v>
      </c>
      <c r="N14" s="4">
        <v>45452</v>
      </c>
      <c r="O14" s="4">
        <v>45591</v>
      </c>
    </row>
    <row r="15" spans="1:15" x14ac:dyDescent="0.35">
      <c r="B15" s="1"/>
      <c r="F15" s="4">
        <v>44898</v>
      </c>
      <c r="G15" s="4">
        <v>45512</v>
      </c>
      <c r="H15" s="4">
        <f t="shared" si="0"/>
        <v>44907</v>
      </c>
      <c r="J15" s="4">
        <f t="shared" si="1"/>
        <v>44906</v>
      </c>
      <c r="K15" s="4">
        <v>45106</v>
      </c>
      <c r="L15" s="4">
        <v>45476</v>
      </c>
      <c r="M15" s="4">
        <f t="shared" si="2"/>
        <v>44903</v>
      </c>
      <c r="N15" s="4">
        <v>45455</v>
      </c>
      <c r="O15" s="4">
        <v>45593</v>
      </c>
    </row>
    <row r="16" spans="1:15" x14ac:dyDescent="0.35">
      <c r="B16" s="1"/>
      <c r="F16" s="4">
        <v>44899</v>
      </c>
      <c r="G16" s="4">
        <v>45513</v>
      </c>
      <c r="H16" s="4">
        <f t="shared" si="0"/>
        <v>44914</v>
      </c>
      <c r="J16" s="4">
        <f t="shared" si="1"/>
        <v>44913</v>
      </c>
      <c r="K16" s="4">
        <v>45107</v>
      </c>
      <c r="L16" s="4">
        <v>45477</v>
      </c>
      <c r="M16" s="4">
        <f t="shared" si="2"/>
        <v>44910</v>
      </c>
      <c r="N16" s="4">
        <v>45457</v>
      </c>
      <c r="O16" s="4">
        <v>45594</v>
      </c>
    </row>
    <row r="17" spans="2:15" x14ac:dyDescent="0.35">
      <c r="B17" s="1"/>
      <c r="F17" s="4">
        <v>44900</v>
      </c>
      <c r="G17" s="4">
        <v>45514</v>
      </c>
      <c r="H17" s="4">
        <f t="shared" si="0"/>
        <v>44921</v>
      </c>
      <c r="J17" s="4">
        <f t="shared" si="1"/>
        <v>44920</v>
      </c>
      <c r="K17" s="4">
        <v>45108</v>
      </c>
      <c r="L17" s="4">
        <v>45478</v>
      </c>
      <c r="M17" s="4">
        <f t="shared" si="2"/>
        <v>44917</v>
      </c>
      <c r="N17" s="4">
        <v>45460</v>
      </c>
      <c r="O17" s="4">
        <v>45595</v>
      </c>
    </row>
    <row r="18" spans="2:15" x14ac:dyDescent="0.35">
      <c r="B18" s="1"/>
      <c r="F18" s="4">
        <v>44901</v>
      </c>
      <c r="G18" s="4">
        <v>45515</v>
      </c>
      <c r="H18" s="4">
        <f t="shared" si="0"/>
        <v>44928</v>
      </c>
      <c r="J18" s="4">
        <f>H19-1</f>
        <v>45179</v>
      </c>
      <c r="K18" s="4">
        <v>45109</v>
      </c>
      <c r="L18" s="4">
        <v>45479</v>
      </c>
      <c r="M18" s="4">
        <f t="shared" si="2"/>
        <v>44924</v>
      </c>
      <c r="N18" s="4">
        <v>45816</v>
      </c>
      <c r="O18" s="4">
        <v>45954</v>
      </c>
    </row>
    <row r="19" spans="2:15" x14ac:dyDescent="0.35">
      <c r="B19" s="1"/>
      <c r="F19" s="4">
        <v>44902</v>
      </c>
      <c r="H19" s="4">
        <v>45180</v>
      </c>
      <c r="J19" s="4">
        <f t="shared" ref="J19:J34" si="3">H20-1</f>
        <v>45186</v>
      </c>
      <c r="K19" s="4">
        <v>45110</v>
      </c>
      <c r="L19" s="4">
        <v>45480</v>
      </c>
      <c r="M19" s="4">
        <v>45176</v>
      </c>
      <c r="N19" s="4">
        <v>45819</v>
      </c>
      <c r="O19" s="4">
        <v>45955</v>
      </c>
    </row>
    <row r="20" spans="2:15" x14ac:dyDescent="0.35">
      <c r="B20" s="1"/>
      <c r="F20" s="4">
        <v>44903</v>
      </c>
      <c r="H20" s="4">
        <f>H19+7</f>
        <v>45187</v>
      </c>
      <c r="J20" s="4">
        <f t="shared" si="3"/>
        <v>45193</v>
      </c>
      <c r="K20" s="4">
        <v>45111</v>
      </c>
      <c r="L20" s="4">
        <v>45481</v>
      </c>
      <c r="M20" s="4">
        <f t="shared" ref="M20:M32" si="4">M19+7</f>
        <v>45183</v>
      </c>
      <c r="N20" s="4">
        <v>45821</v>
      </c>
      <c r="O20" s="4">
        <v>45957</v>
      </c>
    </row>
    <row r="21" spans="2:15" x14ac:dyDescent="0.35">
      <c r="B21" s="1"/>
      <c r="F21" s="4">
        <v>44904</v>
      </c>
      <c r="H21" s="4">
        <f t="shared" ref="H21:H34" si="5">H20+7</f>
        <v>45194</v>
      </c>
      <c r="J21" s="4">
        <f t="shared" si="3"/>
        <v>45200</v>
      </c>
      <c r="K21" s="4">
        <v>45112</v>
      </c>
      <c r="L21" s="4">
        <v>45482</v>
      </c>
      <c r="M21" s="4">
        <f t="shared" si="4"/>
        <v>45190</v>
      </c>
      <c r="N21" s="4">
        <v>45824</v>
      </c>
      <c r="O21" s="4">
        <v>45958</v>
      </c>
    </row>
    <row r="22" spans="2:15" x14ac:dyDescent="0.35">
      <c r="B22" s="1"/>
      <c r="F22" s="4">
        <v>44905</v>
      </c>
      <c r="H22" s="4">
        <f t="shared" si="5"/>
        <v>45201</v>
      </c>
      <c r="J22" s="4">
        <f t="shared" si="3"/>
        <v>45207</v>
      </c>
      <c r="K22" s="4">
        <v>45113</v>
      </c>
      <c r="L22" s="4">
        <v>45483</v>
      </c>
      <c r="M22" s="4">
        <f t="shared" si="4"/>
        <v>45197</v>
      </c>
      <c r="N22" s="4">
        <v>45827</v>
      </c>
      <c r="O22" s="4">
        <v>45959</v>
      </c>
    </row>
    <row r="23" spans="2:15" x14ac:dyDescent="0.35">
      <c r="B23" s="1"/>
      <c r="F23" s="4">
        <v>44906</v>
      </c>
      <c r="H23" s="4">
        <f t="shared" si="5"/>
        <v>45208</v>
      </c>
      <c r="J23" s="4">
        <f t="shared" si="3"/>
        <v>45214</v>
      </c>
      <c r="K23" s="4">
        <v>45114</v>
      </c>
      <c r="L23" s="4">
        <v>45484</v>
      </c>
      <c r="M23" s="4">
        <f t="shared" si="4"/>
        <v>45204</v>
      </c>
      <c r="N23" s="4">
        <v>45830</v>
      </c>
      <c r="O23" s="4">
        <v>45961</v>
      </c>
    </row>
    <row r="24" spans="2:15" x14ac:dyDescent="0.35">
      <c r="B24" s="1"/>
      <c r="F24" s="4">
        <v>44907</v>
      </c>
      <c r="H24" s="4">
        <f t="shared" si="5"/>
        <v>45215</v>
      </c>
      <c r="J24" s="4">
        <f t="shared" si="3"/>
        <v>45221</v>
      </c>
      <c r="K24" s="4">
        <v>45115</v>
      </c>
      <c r="L24" s="4">
        <v>45485</v>
      </c>
      <c r="M24" s="4">
        <f t="shared" si="4"/>
        <v>45211</v>
      </c>
      <c r="N24" s="5">
        <v>46177</v>
      </c>
      <c r="O24" s="4">
        <v>45962</v>
      </c>
    </row>
    <row r="25" spans="2:15" x14ac:dyDescent="0.35">
      <c r="B25" s="1"/>
      <c r="F25" s="4">
        <v>44908</v>
      </c>
      <c r="H25" s="4">
        <f t="shared" si="5"/>
        <v>45222</v>
      </c>
      <c r="J25" s="4">
        <f t="shared" si="3"/>
        <v>45228</v>
      </c>
      <c r="K25" s="4">
        <v>45116</v>
      </c>
      <c r="L25" s="4">
        <v>45486</v>
      </c>
      <c r="M25" s="4">
        <f t="shared" si="4"/>
        <v>45218</v>
      </c>
      <c r="N25" s="5">
        <v>46180</v>
      </c>
      <c r="O25" s="5">
        <v>46318</v>
      </c>
    </row>
    <row r="26" spans="2:15" x14ac:dyDescent="0.35">
      <c r="B26" s="1"/>
      <c r="F26" s="4">
        <v>44909</v>
      </c>
      <c r="H26" s="4">
        <f t="shared" si="5"/>
        <v>45229</v>
      </c>
      <c r="J26" s="4">
        <f t="shared" si="3"/>
        <v>45235</v>
      </c>
      <c r="K26" s="4">
        <v>45117</v>
      </c>
      <c r="L26" s="4">
        <v>45487</v>
      </c>
      <c r="M26" s="4">
        <f t="shared" si="4"/>
        <v>45225</v>
      </c>
      <c r="N26" s="5">
        <v>46183</v>
      </c>
      <c r="O26" s="5">
        <v>46319</v>
      </c>
    </row>
    <row r="27" spans="2:15" x14ac:dyDescent="0.35">
      <c r="B27" s="1"/>
      <c r="F27" s="4">
        <v>44910</v>
      </c>
      <c r="H27" s="4">
        <f t="shared" si="5"/>
        <v>45236</v>
      </c>
      <c r="J27" s="4">
        <f t="shared" si="3"/>
        <v>45242</v>
      </c>
      <c r="K27" s="4">
        <v>45118</v>
      </c>
      <c r="L27" s="1"/>
      <c r="M27" s="4">
        <f t="shared" si="4"/>
        <v>45232</v>
      </c>
      <c r="N27" s="5">
        <v>46185</v>
      </c>
      <c r="O27" s="5">
        <v>46321</v>
      </c>
    </row>
    <row r="28" spans="2:15" x14ac:dyDescent="0.35">
      <c r="B28" s="1"/>
      <c r="F28" s="4">
        <v>44911</v>
      </c>
      <c r="H28" s="4">
        <f t="shared" si="5"/>
        <v>45243</v>
      </c>
      <c r="J28" s="4">
        <f t="shared" si="3"/>
        <v>45249</v>
      </c>
      <c r="K28" s="4">
        <v>45119</v>
      </c>
      <c r="L28" s="1"/>
      <c r="M28" s="4">
        <f t="shared" si="4"/>
        <v>45239</v>
      </c>
      <c r="N28" s="5">
        <v>46188</v>
      </c>
      <c r="O28" s="5">
        <v>46322</v>
      </c>
    </row>
    <row r="29" spans="2:15" x14ac:dyDescent="0.35">
      <c r="B29" s="1"/>
      <c r="F29" s="4">
        <v>44912</v>
      </c>
      <c r="H29" s="4">
        <f t="shared" si="5"/>
        <v>45250</v>
      </c>
      <c r="J29" s="4">
        <f t="shared" si="3"/>
        <v>45256</v>
      </c>
      <c r="K29" s="4">
        <v>45120</v>
      </c>
      <c r="L29" s="1"/>
      <c r="M29" s="4">
        <f t="shared" si="4"/>
        <v>45246</v>
      </c>
      <c r="N29" s="5">
        <v>46191</v>
      </c>
      <c r="O29" s="5">
        <v>46323</v>
      </c>
    </row>
    <row r="30" spans="2:15" x14ac:dyDescent="0.35">
      <c r="B30" s="1"/>
      <c r="F30" s="4">
        <v>44913</v>
      </c>
      <c r="H30" s="4">
        <f t="shared" si="5"/>
        <v>45257</v>
      </c>
      <c r="J30" s="4">
        <f t="shared" si="3"/>
        <v>45263</v>
      </c>
      <c r="K30" s="4">
        <v>45121</v>
      </c>
      <c r="L30" s="1"/>
      <c r="M30" s="4">
        <f t="shared" si="4"/>
        <v>45253</v>
      </c>
      <c r="N30" s="5">
        <v>46541</v>
      </c>
      <c r="O30" s="5">
        <v>46325</v>
      </c>
    </row>
    <row r="31" spans="2:15" x14ac:dyDescent="0.35">
      <c r="B31" s="1"/>
      <c r="F31" s="5">
        <v>46184</v>
      </c>
      <c r="H31" s="4">
        <f t="shared" si="5"/>
        <v>45264</v>
      </c>
      <c r="J31" s="4">
        <f t="shared" si="3"/>
        <v>45270</v>
      </c>
      <c r="K31" s="4">
        <v>45122</v>
      </c>
      <c r="L31" s="1"/>
      <c r="M31" s="4">
        <f t="shared" si="4"/>
        <v>45260</v>
      </c>
      <c r="N31" s="5">
        <v>46544</v>
      </c>
      <c r="O31" s="5">
        <v>46326</v>
      </c>
    </row>
    <row r="32" spans="2:15" x14ac:dyDescent="0.35">
      <c r="B32" s="1"/>
      <c r="F32" s="5">
        <v>46185</v>
      </c>
      <c r="H32" s="4">
        <f t="shared" si="5"/>
        <v>45271</v>
      </c>
      <c r="J32" s="4">
        <f t="shared" si="3"/>
        <v>45277</v>
      </c>
      <c r="K32" s="4">
        <v>45123</v>
      </c>
      <c r="L32" s="1"/>
      <c r="M32" s="4">
        <f t="shared" si="4"/>
        <v>45267</v>
      </c>
      <c r="N32" s="5">
        <v>46547</v>
      </c>
      <c r="O32" s="5">
        <v>46682</v>
      </c>
    </row>
    <row r="33" spans="2:15" x14ac:dyDescent="0.35">
      <c r="B33" s="1"/>
      <c r="F33" s="5">
        <v>46186</v>
      </c>
      <c r="H33" s="4">
        <f t="shared" si="5"/>
        <v>45278</v>
      </c>
      <c r="J33" s="4">
        <f t="shared" si="3"/>
        <v>45284</v>
      </c>
      <c r="K33" s="5">
        <v>46557</v>
      </c>
      <c r="L33" s="1"/>
      <c r="M33" s="4">
        <f>M32+7</f>
        <v>45274</v>
      </c>
      <c r="N33" s="5">
        <v>46549</v>
      </c>
      <c r="O33" s="5">
        <v>46683</v>
      </c>
    </row>
    <row r="34" spans="2:15" x14ac:dyDescent="0.35">
      <c r="B34" s="1"/>
      <c r="F34" s="5">
        <v>46187</v>
      </c>
      <c r="H34" s="4">
        <f t="shared" si="5"/>
        <v>45285</v>
      </c>
      <c r="J34" s="4">
        <f t="shared" si="3"/>
        <v>45289</v>
      </c>
      <c r="K34" s="5">
        <v>46558</v>
      </c>
      <c r="L34" s="1"/>
      <c r="M34" s="4">
        <f>M33+7</f>
        <v>45281</v>
      </c>
      <c r="N34" s="5">
        <v>46552</v>
      </c>
      <c r="O34" s="5">
        <v>46685</v>
      </c>
    </row>
    <row r="35" spans="2:15" x14ac:dyDescent="0.35">
      <c r="B35" s="1"/>
      <c r="F35" s="5">
        <v>46188</v>
      </c>
      <c r="H35" s="4">
        <v>45290</v>
      </c>
      <c r="J35" s="4">
        <f>H36-1</f>
        <v>45543</v>
      </c>
      <c r="K35" s="5">
        <v>46559</v>
      </c>
      <c r="L35" s="1"/>
      <c r="M35" s="4">
        <f t="shared" ref="M35" si="6">M34+7</f>
        <v>45288</v>
      </c>
      <c r="N35" s="5">
        <v>46555</v>
      </c>
      <c r="O35" s="5">
        <v>46686</v>
      </c>
    </row>
    <row r="36" spans="2:15" x14ac:dyDescent="0.35">
      <c r="B36" s="1"/>
      <c r="F36" s="5">
        <v>46189</v>
      </c>
      <c r="H36" s="4">
        <v>45544</v>
      </c>
      <c r="J36" s="4">
        <f t="shared" ref="J36:J51" si="7">H37-1</f>
        <v>45550</v>
      </c>
      <c r="K36" s="5">
        <v>46560</v>
      </c>
      <c r="L36" s="1"/>
      <c r="M36" s="4">
        <v>45540</v>
      </c>
      <c r="N36" s="8"/>
      <c r="O36" s="5">
        <v>46687</v>
      </c>
    </row>
    <row r="37" spans="2:15" x14ac:dyDescent="0.35">
      <c r="B37" s="1"/>
      <c r="F37" s="5">
        <v>46190</v>
      </c>
      <c r="H37" s="4">
        <f>H36+7</f>
        <v>45551</v>
      </c>
      <c r="J37" s="4">
        <f t="shared" si="7"/>
        <v>45557</v>
      </c>
      <c r="K37" s="5">
        <v>46561</v>
      </c>
      <c r="L37" s="1"/>
      <c r="M37" s="4">
        <f>M36+7</f>
        <v>45547</v>
      </c>
      <c r="O37" s="5">
        <v>46689</v>
      </c>
    </row>
    <row r="38" spans="2:15" x14ac:dyDescent="0.35">
      <c r="B38" s="1"/>
      <c r="F38" s="5">
        <v>46191</v>
      </c>
      <c r="H38" s="4">
        <f t="shared" ref="H38:H52" si="8">H37+7</f>
        <v>45558</v>
      </c>
      <c r="J38" s="4">
        <f t="shared" si="7"/>
        <v>45564</v>
      </c>
      <c r="K38" s="5">
        <v>46562</v>
      </c>
      <c r="L38" s="1"/>
      <c r="M38" s="4">
        <f t="shared" ref="M38:M52" si="9">M37+7</f>
        <v>45554</v>
      </c>
      <c r="O38" s="5">
        <v>46690</v>
      </c>
    </row>
    <row r="39" spans="2:15" x14ac:dyDescent="0.35">
      <c r="B39" s="1"/>
      <c r="F39" s="5">
        <v>46192</v>
      </c>
      <c r="H39" s="4">
        <f t="shared" si="8"/>
        <v>45565</v>
      </c>
      <c r="J39" s="4">
        <f t="shared" si="7"/>
        <v>45571</v>
      </c>
      <c r="K39" s="5">
        <v>46563</v>
      </c>
      <c r="L39" s="1"/>
      <c r="M39" s="4">
        <f t="shared" si="9"/>
        <v>45561</v>
      </c>
    </row>
    <row r="40" spans="2:15" x14ac:dyDescent="0.35">
      <c r="B40" s="1"/>
      <c r="F40" s="5">
        <v>46193</v>
      </c>
      <c r="H40" s="4">
        <f t="shared" si="8"/>
        <v>45572</v>
      </c>
      <c r="J40" s="4">
        <f t="shared" si="7"/>
        <v>45578</v>
      </c>
      <c r="K40" s="5">
        <v>46564</v>
      </c>
      <c r="L40" s="1"/>
      <c r="M40" s="4">
        <f t="shared" si="9"/>
        <v>45568</v>
      </c>
    </row>
    <row r="41" spans="2:15" x14ac:dyDescent="0.35">
      <c r="B41" s="1"/>
      <c r="F41" s="5">
        <v>46194</v>
      </c>
      <c r="H41" s="4">
        <f t="shared" si="8"/>
        <v>45579</v>
      </c>
      <c r="J41" s="4">
        <f t="shared" si="7"/>
        <v>45585</v>
      </c>
      <c r="K41" s="5">
        <v>46565</v>
      </c>
      <c r="L41" s="1"/>
      <c r="M41" s="4">
        <f t="shared" si="9"/>
        <v>45575</v>
      </c>
    </row>
    <row r="42" spans="2:15" x14ac:dyDescent="0.35">
      <c r="B42" s="1"/>
      <c r="F42" s="5">
        <v>46195</v>
      </c>
      <c r="H42" s="4">
        <f t="shared" si="8"/>
        <v>45586</v>
      </c>
      <c r="J42" s="4">
        <f t="shared" si="7"/>
        <v>45592</v>
      </c>
      <c r="K42" s="5">
        <v>46566</v>
      </c>
      <c r="L42" s="1"/>
      <c r="M42" s="4">
        <f t="shared" si="9"/>
        <v>45582</v>
      </c>
    </row>
    <row r="43" spans="2:15" x14ac:dyDescent="0.35">
      <c r="B43" s="1"/>
      <c r="F43" s="5">
        <v>46196</v>
      </c>
      <c r="H43" s="4">
        <f t="shared" si="8"/>
        <v>45593</v>
      </c>
      <c r="J43" s="4">
        <f t="shared" si="7"/>
        <v>45599</v>
      </c>
      <c r="K43" s="5">
        <v>46567</v>
      </c>
      <c r="L43" s="1"/>
      <c r="M43" s="4">
        <f>M42+7</f>
        <v>45589</v>
      </c>
    </row>
    <row r="44" spans="2:15" x14ac:dyDescent="0.35">
      <c r="B44" s="1"/>
      <c r="F44" s="5">
        <v>46197</v>
      </c>
      <c r="H44" s="4">
        <f t="shared" si="8"/>
        <v>45600</v>
      </c>
      <c r="J44" s="4">
        <f t="shared" si="7"/>
        <v>45606</v>
      </c>
      <c r="K44" s="5">
        <v>46568</v>
      </c>
      <c r="L44" s="1"/>
      <c r="M44" s="4">
        <f t="shared" si="9"/>
        <v>45596</v>
      </c>
    </row>
    <row r="45" spans="2:15" x14ac:dyDescent="0.35">
      <c r="B45" s="1"/>
      <c r="F45" s="5">
        <v>46198</v>
      </c>
      <c r="H45" s="4">
        <f t="shared" si="8"/>
        <v>45607</v>
      </c>
      <c r="J45" s="4">
        <f t="shared" si="7"/>
        <v>45613</v>
      </c>
      <c r="K45" s="5">
        <v>46569</v>
      </c>
      <c r="L45" s="1"/>
      <c r="M45" s="4">
        <f t="shared" si="9"/>
        <v>45603</v>
      </c>
    </row>
    <row r="46" spans="2:15" x14ac:dyDescent="0.35">
      <c r="B46" s="1"/>
      <c r="F46" s="5">
        <v>46199</v>
      </c>
      <c r="H46" s="4">
        <f>H45+7</f>
        <v>45614</v>
      </c>
      <c r="J46" s="4">
        <f>H47-1</f>
        <v>45620</v>
      </c>
      <c r="K46" s="5">
        <v>46570</v>
      </c>
      <c r="L46" s="1"/>
      <c r="M46" s="4">
        <f t="shared" si="9"/>
        <v>45610</v>
      </c>
    </row>
    <row r="47" spans="2:15" x14ac:dyDescent="0.35">
      <c r="B47" s="1"/>
      <c r="F47" s="5">
        <v>46200</v>
      </c>
      <c r="H47" s="4">
        <f t="shared" si="8"/>
        <v>45621</v>
      </c>
      <c r="J47" s="4">
        <f t="shared" si="7"/>
        <v>45627</v>
      </c>
      <c r="K47" s="5">
        <v>46571</v>
      </c>
      <c r="M47" s="4">
        <f t="shared" si="9"/>
        <v>45617</v>
      </c>
    </row>
    <row r="48" spans="2:15" x14ac:dyDescent="0.35">
      <c r="B48" s="1"/>
      <c r="F48" s="5">
        <v>46201</v>
      </c>
      <c r="H48" s="4">
        <f t="shared" si="8"/>
        <v>45628</v>
      </c>
      <c r="J48" s="4">
        <f t="shared" si="7"/>
        <v>45634</v>
      </c>
      <c r="K48" s="5">
        <v>46572</v>
      </c>
      <c r="M48" s="4">
        <f>M47+7</f>
        <v>45624</v>
      </c>
    </row>
    <row r="49" spans="2:13" x14ac:dyDescent="0.35">
      <c r="B49" s="1"/>
      <c r="F49" s="5">
        <v>46202</v>
      </c>
      <c r="H49" s="4">
        <f t="shared" si="8"/>
        <v>45635</v>
      </c>
      <c r="J49" s="4">
        <f t="shared" si="7"/>
        <v>45641</v>
      </c>
      <c r="K49" s="5">
        <v>46573</v>
      </c>
      <c r="M49" s="4">
        <f t="shared" si="9"/>
        <v>45631</v>
      </c>
    </row>
    <row r="50" spans="2:13" x14ac:dyDescent="0.35">
      <c r="B50" s="1"/>
      <c r="F50" s="5">
        <v>46203</v>
      </c>
      <c r="H50" s="4">
        <f t="shared" si="8"/>
        <v>45642</v>
      </c>
      <c r="J50" s="4">
        <f t="shared" si="7"/>
        <v>45648</v>
      </c>
      <c r="K50" s="5">
        <v>46574</v>
      </c>
      <c r="M50" s="4">
        <f t="shared" si="9"/>
        <v>45638</v>
      </c>
    </row>
    <row r="51" spans="2:13" x14ac:dyDescent="0.35">
      <c r="B51" s="1"/>
      <c r="F51" s="5">
        <v>46204</v>
      </c>
      <c r="H51" s="4">
        <f>H50+7</f>
        <v>45649</v>
      </c>
      <c r="J51" s="4">
        <f t="shared" si="7"/>
        <v>45655</v>
      </c>
      <c r="K51" s="5">
        <v>46575</v>
      </c>
      <c r="M51" s="4">
        <f t="shared" si="9"/>
        <v>45645</v>
      </c>
    </row>
    <row r="52" spans="2:13" x14ac:dyDescent="0.35">
      <c r="B52" s="1"/>
      <c r="F52" s="5">
        <v>46205</v>
      </c>
      <c r="H52" s="4">
        <f t="shared" si="8"/>
        <v>45656</v>
      </c>
      <c r="J52" s="4">
        <f>H53-1</f>
        <v>45907</v>
      </c>
      <c r="K52" s="5">
        <v>46576</v>
      </c>
      <c r="M52" s="4">
        <f t="shared" si="9"/>
        <v>45652</v>
      </c>
    </row>
    <row r="53" spans="2:13" x14ac:dyDescent="0.35">
      <c r="B53" s="1"/>
      <c r="F53" s="5">
        <v>46206</v>
      </c>
      <c r="H53" s="4">
        <v>45908</v>
      </c>
      <c r="J53" s="4">
        <f t="shared" ref="J53:J67" si="10">H54-1</f>
        <v>45914</v>
      </c>
      <c r="K53" s="5">
        <v>46577</v>
      </c>
      <c r="M53" s="4">
        <v>45904</v>
      </c>
    </row>
    <row r="54" spans="2:13" x14ac:dyDescent="0.35">
      <c r="B54" s="1"/>
      <c r="F54" s="5">
        <v>46207</v>
      </c>
      <c r="H54" s="4">
        <f>H53+7</f>
        <v>45915</v>
      </c>
      <c r="J54" s="4">
        <f t="shared" si="10"/>
        <v>45921</v>
      </c>
      <c r="K54" s="5">
        <v>46578</v>
      </c>
      <c r="M54" s="4">
        <f>M53+7</f>
        <v>45911</v>
      </c>
    </row>
    <row r="55" spans="2:13" x14ac:dyDescent="0.35">
      <c r="B55" s="1"/>
      <c r="F55" s="5">
        <v>46208</v>
      </c>
      <c r="H55" s="4">
        <f t="shared" ref="H55:H69" si="11">H54+7</f>
        <v>45922</v>
      </c>
      <c r="J55" s="4">
        <f t="shared" si="10"/>
        <v>45928</v>
      </c>
      <c r="K55" s="5">
        <v>46579</v>
      </c>
      <c r="M55" s="4">
        <f t="shared" ref="M55:M69" si="12">M54+7</f>
        <v>45918</v>
      </c>
    </row>
    <row r="56" spans="2:13" x14ac:dyDescent="0.35">
      <c r="B56" s="1"/>
      <c r="F56" s="5">
        <v>46209</v>
      </c>
      <c r="H56" s="4">
        <f t="shared" si="11"/>
        <v>45929</v>
      </c>
      <c r="J56" s="4">
        <f t="shared" si="10"/>
        <v>45935</v>
      </c>
      <c r="K56" s="5">
        <v>46580</v>
      </c>
      <c r="M56" s="4">
        <f t="shared" si="12"/>
        <v>45925</v>
      </c>
    </row>
    <row r="57" spans="2:13" x14ac:dyDescent="0.35">
      <c r="B57" s="1"/>
      <c r="F57" s="5">
        <v>46210</v>
      </c>
      <c r="H57" s="4">
        <f t="shared" si="11"/>
        <v>45936</v>
      </c>
      <c r="J57" s="4">
        <f t="shared" si="10"/>
        <v>45942</v>
      </c>
      <c r="K57" s="5">
        <v>46581</v>
      </c>
      <c r="M57" s="4">
        <f t="shared" si="12"/>
        <v>45932</v>
      </c>
    </row>
    <row r="58" spans="2:13" x14ac:dyDescent="0.35">
      <c r="B58" s="1"/>
      <c r="F58" s="5">
        <v>46211</v>
      </c>
      <c r="H58" s="4">
        <f t="shared" si="11"/>
        <v>45943</v>
      </c>
      <c r="J58" s="4">
        <f t="shared" si="10"/>
        <v>45949</v>
      </c>
      <c r="K58" s="5">
        <v>46582</v>
      </c>
      <c r="M58" s="4">
        <f t="shared" si="12"/>
        <v>45939</v>
      </c>
    </row>
    <row r="59" spans="2:13" x14ac:dyDescent="0.35">
      <c r="B59" s="1"/>
      <c r="F59" s="5">
        <v>46212</v>
      </c>
      <c r="H59" s="4">
        <f t="shared" si="11"/>
        <v>45950</v>
      </c>
      <c r="J59" s="4">
        <f t="shared" si="10"/>
        <v>45956</v>
      </c>
      <c r="K59" s="5">
        <v>46583</v>
      </c>
      <c r="M59" s="4">
        <f t="shared" si="12"/>
        <v>45946</v>
      </c>
    </row>
    <row r="60" spans="2:13" x14ac:dyDescent="0.35">
      <c r="B60" s="1"/>
      <c r="F60" s="5">
        <v>46213</v>
      </c>
      <c r="H60" s="4">
        <f t="shared" si="11"/>
        <v>45957</v>
      </c>
      <c r="J60" s="5">
        <f t="shared" si="10"/>
        <v>45963</v>
      </c>
      <c r="K60" s="5">
        <v>46584</v>
      </c>
      <c r="M60" s="4">
        <f t="shared" si="12"/>
        <v>45953</v>
      </c>
    </row>
    <row r="61" spans="2:13" x14ac:dyDescent="0.35">
      <c r="B61" s="1"/>
      <c r="F61" s="5">
        <v>46214</v>
      </c>
      <c r="H61" s="5">
        <f t="shared" si="11"/>
        <v>45964</v>
      </c>
      <c r="J61" s="5">
        <f t="shared" si="10"/>
        <v>45970</v>
      </c>
      <c r="K61" s="5">
        <v>46585</v>
      </c>
      <c r="M61" s="4">
        <f t="shared" si="12"/>
        <v>45960</v>
      </c>
    </row>
    <row r="62" spans="2:13" x14ac:dyDescent="0.35">
      <c r="B62" s="1"/>
      <c r="F62" s="5">
        <v>46215</v>
      </c>
      <c r="H62" s="5">
        <f t="shared" si="11"/>
        <v>45971</v>
      </c>
      <c r="J62" s="5">
        <f t="shared" si="10"/>
        <v>45977</v>
      </c>
      <c r="K62" s="5">
        <v>46586</v>
      </c>
      <c r="M62" s="4">
        <f t="shared" si="12"/>
        <v>45967</v>
      </c>
    </row>
    <row r="63" spans="2:13" x14ac:dyDescent="0.35">
      <c r="B63" s="1"/>
      <c r="F63" s="5">
        <v>46216</v>
      </c>
      <c r="H63" s="5">
        <f t="shared" si="11"/>
        <v>45978</v>
      </c>
      <c r="J63" s="5">
        <f t="shared" si="10"/>
        <v>45984</v>
      </c>
      <c r="K63" s="5">
        <v>46587</v>
      </c>
      <c r="M63" s="4">
        <f t="shared" si="12"/>
        <v>45974</v>
      </c>
    </row>
    <row r="64" spans="2:13" x14ac:dyDescent="0.35">
      <c r="B64" s="1"/>
      <c r="F64" s="5">
        <v>46217</v>
      </c>
      <c r="H64" s="5">
        <f t="shared" si="11"/>
        <v>45985</v>
      </c>
      <c r="J64" s="5">
        <f t="shared" si="10"/>
        <v>45991</v>
      </c>
      <c r="M64" s="4">
        <f t="shared" si="12"/>
        <v>45981</v>
      </c>
    </row>
    <row r="65" spans="2:13" x14ac:dyDescent="0.35">
      <c r="B65" s="1"/>
      <c r="F65" s="5">
        <v>46218</v>
      </c>
      <c r="H65" s="5">
        <f t="shared" si="11"/>
        <v>45992</v>
      </c>
      <c r="J65" s="5">
        <f t="shared" si="10"/>
        <v>45998</v>
      </c>
      <c r="M65" s="4">
        <f t="shared" si="12"/>
        <v>45988</v>
      </c>
    </row>
    <row r="66" spans="2:13" x14ac:dyDescent="0.35">
      <c r="B66" s="1"/>
      <c r="F66" s="5">
        <v>46219</v>
      </c>
      <c r="H66" s="5">
        <f t="shared" si="11"/>
        <v>45999</v>
      </c>
      <c r="J66" s="5">
        <f t="shared" si="10"/>
        <v>46005</v>
      </c>
      <c r="M66" s="4">
        <f t="shared" si="12"/>
        <v>45995</v>
      </c>
    </row>
    <row r="67" spans="2:13" x14ac:dyDescent="0.35">
      <c r="B67" s="1"/>
      <c r="F67" s="5">
        <v>46220</v>
      </c>
      <c r="H67" s="5">
        <f t="shared" si="11"/>
        <v>46006</v>
      </c>
      <c r="J67" s="5">
        <f t="shared" si="10"/>
        <v>46012</v>
      </c>
      <c r="M67" s="4">
        <f t="shared" si="12"/>
        <v>46002</v>
      </c>
    </row>
    <row r="68" spans="2:13" x14ac:dyDescent="0.35">
      <c r="B68" s="1"/>
      <c r="F68" s="5">
        <v>46221</v>
      </c>
      <c r="H68" s="5">
        <f t="shared" si="11"/>
        <v>46013</v>
      </c>
      <c r="J68" s="5">
        <f t="shared" ref="J68:J103" si="13">H69-1</f>
        <v>46019</v>
      </c>
      <c r="M68" s="4">
        <f t="shared" si="12"/>
        <v>46009</v>
      </c>
    </row>
    <row r="69" spans="2:13" x14ac:dyDescent="0.35">
      <c r="B69" s="1"/>
      <c r="F69" s="5">
        <v>46222</v>
      </c>
      <c r="H69" s="5">
        <f t="shared" si="11"/>
        <v>46020</v>
      </c>
      <c r="J69" s="5">
        <f t="shared" si="13"/>
        <v>46271</v>
      </c>
      <c r="M69" s="4">
        <f t="shared" si="12"/>
        <v>46016</v>
      </c>
    </row>
    <row r="70" spans="2:13" x14ac:dyDescent="0.35">
      <c r="B70" s="1"/>
      <c r="H70" s="5">
        <v>46272</v>
      </c>
      <c r="J70" s="5">
        <f t="shared" si="13"/>
        <v>46278</v>
      </c>
      <c r="M70" s="5">
        <v>46275</v>
      </c>
    </row>
    <row r="71" spans="2:13" x14ac:dyDescent="0.35">
      <c r="B71" s="1"/>
      <c r="H71" s="5">
        <v>46279</v>
      </c>
      <c r="J71" s="5">
        <f t="shared" si="13"/>
        <v>46285</v>
      </c>
      <c r="M71" s="5">
        <f>M70+7</f>
        <v>46282</v>
      </c>
    </row>
    <row r="72" spans="2:13" x14ac:dyDescent="0.35">
      <c r="B72" s="1"/>
      <c r="H72" s="5">
        <f>H71+7</f>
        <v>46286</v>
      </c>
      <c r="J72" s="5">
        <f t="shared" si="13"/>
        <v>46292</v>
      </c>
      <c r="M72" s="5">
        <f>M71+7</f>
        <v>46289</v>
      </c>
    </row>
    <row r="73" spans="2:13" x14ac:dyDescent="0.35">
      <c r="B73" s="1"/>
      <c r="H73" s="5">
        <f t="shared" ref="H73:H87" si="14">H72+7</f>
        <v>46293</v>
      </c>
      <c r="J73" s="5">
        <f t="shared" si="13"/>
        <v>46299</v>
      </c>
      <c r="M73" s="5">
        <f t="shared" ref="M73:M86" si="15">M72+7</f>
        <v>46296</v>
      </c>
    </row>
    <row r="74" spans="2:13" x14ac:dyDescent="0.35">
      <c r="B74" s="1"/>
      <c r="H74" s="5">
        <f t="shared" si="14"/>
        <v>46300</v>
      </c>
      <c r="J74" s="5">
        <f t="shared" si="13"/>
        <v>46306</v>
      </c>
      <c r="M74" s="5">
        <f t="shared" si="15"/>
        <v>46303</v>
      </c>
    </row>
    <row r="75" spans="2:13" x14ac:dyDescent="0.35">
      <c r="B75" s="1"/>
      <c r="H75" s="5">
        <f t="shared" si="14"/>
        <v>46307</v>
      </c>
      <c r="J75" s="5">
        <f t="shared" si="13"/>
        <v>46313</v>
      </c>
      <c r="M75" s="5">
        <f t="shared" si="15"/>
        <v>46310</v>
      </c>
    </row>
    <row r="76" spans="2:13" x14ac:dyDescent="0.35">
      <c r="B76" s="1"/>
      <c r="H76" s="5">
        <f t="shared" si="14"/>
        <v>46314</v>
      </c>
      <c r="J76" s="5">
        <f t="shared" si="13"/>
        <v>46320</v>
      </c>
      <c r="M76" s="5">
        <f t="shared" si="15"/>
        <v>46317</v>
      </c>
    </row>
    <row r="77" spans="2:13" x14ac:dyDescent="0.35">
      <c r="B77" s="1"/>
      <c r="H77" s="5">
        <f t="shared" si="14"/>
        <v>46321</v>
      </c>
      <c r="J77" s="5">
        <f t="shared" si="13"/>
        <v>46327</v>
      </c>
      <c r="M77" s="5">
        <f t="shared" si="15"/>
        <v>46324</v>
      </c>
    </row>
    <row r="78" spans="2:13" x14ac:dyDescent="0.35">
      <c r="B78" s="1"/>
      <c r="H78" s="5">
        <f t="shared" si="14"/>
        <v>46328</v>
      </c>
      <c r="J78" s="5">
        <f t="shared" si="13"/>
        <v>46334</v>
      </c>
      <c r="M78" s="5">
        <f t="shared" si="15"/>
        <v>46331</v>
      </c>
    </row>
    <row r="79" spans="2:13" x14ac:dyDescent="0.35">
      <c r="B79" s="1"/>
      <c r="H79" s="5">
        <f t="shared" si="14"/>
        <v>46335</v>
      </c>
      <c r="J79" s="5">
        <f t="shared" si="13"/>
        <v>46341</v>
      </c>
      <c r="M79" s="5">
        <f t="shared" si="15"/>
        <v>46338</v>
      </c>
    </row>
    <row r="80" spans="2:13" x14ac:dyDescent="0.35">
      <c r="B80" s="1"/>
      <c r="H80" s="5">
        <f t="shared" si="14"/>
        <v>46342</v>
      </c>
      <c r="J80" s="5">
        <f t="shared" si="13"/>
        <v>46348</v>
      </c>
      <c r="M80" s="5">
        <f t="shared" si="15"/>
        <v>46345</v>
      </c>
    </row>
    <row r="81" spans="2:13" x14ac:dyDescent="0.35">
      <c r="B81" s="1"/>
      <c r="H81" s="5">
        <f t="shared" si="14"/>
        <v>46349</v>
      </c>
      <c r="J81" s="5">
        <f t="shared" si="13"/>
        <v>46355</v>
      </c>
      <c r="M81" s="5">
        <f t="shared" si="15"/>
        <v>46352</v>
      </c>
    </row>
    <row r="82" spans="2:13" x14ac:dyDescent="0.35">
      <c r="B82" s="1"/>
      <c r="H82" s="5">
        <f t="shared" si="14"/>
        <v>46356</v>
      </c>
      <c r="J82" s="5">
        <f t="shared" si="13"/>
        <v>46362</v>
      </c>
      <c r="M82" s="5">
        <f t="shared" si="15"/>
        <v>46359</v>
      </c>
    </row>
    <row r="83" spans="2:13" x14ac:dyDescent="0.35">
      <c r="B83" s="1"/>
      <c r="H83" s="5">
        <f t="shared" si="14"/>
        <v>46363</v>
      </c>
      <c r="J83" s="5">
        <f t="shared" si="13"/>
        <v>46369</v>
      </c>
      <c r="M83" s="5">
        <f t="shared" si="15"/>
        <v>46366</v>
      </c>
    </row>
    <row r="84" spans="2:13" x14ac:dyDescent="0.35">
      <c r="B84" s="1"/>
      <c r="H84" s="5">
        <f t="shared" si="14"/>
        <v>46370</v>
      </c>
      <c r="J84" s="5">
        <f t="shared" si="13"/>
        <v>46376</v>
      </c>
      <c r="M84" s="5">
        <f t="shared" si="15"/>
        <v>46373</v>
      </c>
    </row>
    <row r="85" spans="2:13" x14ac:dyDescent="0.35">
      <c r="B85" s="1"/>
      <c r="H85" s="5">
        <f t="shared" si="14"/>
        <v>46377</v>
      </c>
      <c r="J85" s="5">
        <f t="shared" si="13"/>
        <v>46383</v>
      </c>
      <c r="M85" s="5">
        <f t="shared" si="15"/>
        <v>46380</v>
      </c>
    </row>
    <row r="86" spans="2:13" x14ac:dyDescent="0.35">
      <c r="B86" s="1"/>
      <c r="H86" s="5">
        <f t="shared" si="14"/>
        <v>46384</v>
      </c>
      <c r="J86" s="5">
        <f t="shared" si="13"/>
        <v>46390</v>
      </c>
      <c r="M86" s="5">
        <f t="shared" si="15"/>
        <v>46387</v>
      </c>
    </row>
    <row r="87" spans="2:13" x14ac:dyDescent="0.35">
      <c r="B87" s="1"/>
      <c r="H87" s="5">
        <f t="shared" si="14"/>
        <v>46391</v>
      </c>
      <c r="J87" s="5">
        <f t="shared" si="13"/>
        <v>46642</v>
      </c>
      <c r="M87" s="5">
        <v>46639</v>
      </c>
    </row>
    <row r="88" spans="2:13" x14ac:dyDescent="0.35">
      <c r="B88" s="1"/>
      <c r="H88" s="5">
        <v>46643</v>
      </c>
      <c r="J88" s="5">
        <f t="shared" si="13"/>
        <v>46649</v>
      </c>
      <c r="M88" s="5">
        <f>M87+7</f>
        <v>46646</v>
      </c>
    </row>
    <row r="89" spans="2:13" x14ac:dyDescent="0.35">
      <c r="B89" s="1"/>
      <c r="H89" s="5">
        <f>H88+7</f>
        <v>46650</v>
      </c>
      <c r="J89" s="5">
        <f t="shared" si="13"/>
        <v>46656</v>
      </c>
      <c r="M89" s="5">
        <f t="shared" ref="M89:M103" si="16">M88+7</f>
        <v>46653</v>
      </c>
    </row>
    <row r="90" spans="2:13" x14ac:dyDescent="0.35">
      <c r="B90" s="1"/>
      <c r="H90" s="5">
        <f t="shared" ref="H90:H104" si="17">H89+7</f>
        <v>46657</v>
      </c>
      <c r="J90" s="5">
        <f t="shared" si="13"/>
        <v>46663</v>
      </c>
      <c r="M90" s="5">
        <f t="shared" si="16"/>
        <v>46660</v>
      </c>
    </row>
    <row r="91" spans="2:13" x14ac:dyDescent="0.35">
      <c r="B91" s="1"/>
      <c r="H91" s="5">
        <f t="shared" si="17"/>
        <v>46664</v>
      </c>
      <c r="J91" s="5">
        <f t="shared" si="13"/>
        <v>46670</v>
      </c>
      <c r="M91" s="5">
        <f t="shared" si="16"/>
        <v>46667</v>
      </c>
    </row>
    <row r="92" spans="2:13" x14ac:dyDescent="0.35">
      <c r="B92" s="1"/>
      <c r="H92" s="5">
        <f t="shared" si="17"/>
        <v>46671</v>
      </c>
      <c r="J92" s="5">
        <f t="shared" si="13"/>
        <v>46677</v>
      </c>
      <c r="M92" s="5">
        <f t="shared" si="16"/>
        <v>46674</v>
      </c>
    </row>
    <row r="93" spans="2:13" x14ac:dyDescent="0.35">
      <c r="B93" s="1"/>
      <c r="H93" s="5">
        <f t="shared" si="17"/>
        <v>46678</v>
      </c>
      <c r="J93" s="5">
        <f t="shared" si="13"/>
        <v>46684</v>
      </c>
      <c r="M93" s="5">
        <f t="shared" si="16"/>
        <v>46681</v>
      </c>
    </row>
    <row r="94" spans="2:13" x14ac:dyDescent="0.35">
      <c r="B94" s="1"/>
      <c r="H94" s="5">
        <f t="shared" si="17"/>
        <v>46685</v>
      </c>
      <c r="J94" s="5">
        <f t="shared" si="13"/>
        <v>46691</v>
      </c>
      <c r="M94" s="5">
        <f t="shared" si="16"/>
        <v>46688</v>
      </c>
    </row>
    <row r="95" spans="2:13" x14ac:dyDescent="0.35">
      <c r="B95" s="1"/>
      <c r="H95" s="5">
        <f t="shared" si="17"/>
        <v>46692</v>
      </c>
      <c r="J95" s="5">
        <f t="shared" si="13"/>
        <v>46698</v>
      </c>
      <c r="M95" s="5">
        <f t="shared" si="16"/>
        <v>46695</v>
      </c>
    </row>
    <row r="96" spans="2:13" x14ac:dyDescent="0.35">
      <c r="B96" s="1"/>
      <c r="H96" s="5">
        <f t="shared" si="17"/>
        <v>46699</v>
      </c>
      <c r="J96" s="5">
        <f t="shared" si="13"/>
        <v>46705</v>
      </c>
      <c r="M96" s="5">
        <f t="shared" si="16"/>
        <v>46702</v>
      </c>
    </row>
    <row r="97" spans="2:13" x14ac:dyDescent="0.35">
      <c r="B97" s="1"/>
      <c r="H97" s="5">
        <f t="shared" si="17"/>
        <v>46706</v>
      </c>
      <c r="J97" s="5">
        <f t="shared" si="13"/>
        <v>46712</v>
      </c>
      <c r="M97" s="5">
        <f t="shared" si="16"/>
        <v>46709</v>
      </c>
    </row>
    <row r="98" spans="2:13" x14ac:dyDescent="0.35">
      <c r="B98" s="1"/>
      <c r="H98" s="5">
        <f t="shared" si="17"/>
        <v>46713</v>
      </c>
      <c r="J98" s="5">
        <f t="shared" si="13"/>
        <v>46719</v>
      </c>
      <c r="M98" s="5">
        <f t="shared" si="16"/>
        <v>46716</v>
      </c>
    </row>
    <row r="99" spans="2:13" x14ac:dyDescent="0.35">
      <c r="B99" s="1"/>
      <c r="H99" s="5">
        <f t="shared" si="17"/>
        <v>46720</v>
      </c>
      <c r="J99" s="5">
        <f t="shared" si="13"/>
        <v>46726</v>
      </c>
      <c r="M99" s="5">
        <f t="shared" si="16"/>
        <v>46723</v>
      </c>
    </row>
    <row r="100" spans="2:13" x14ac:dyDescent="0.35">
      <c r="B100" s="1"/>
      <c r="H100" s="5">
        <f t="shared" si="17"/>
        <v>46727</v>
      </c>
      <c r="J100" s="5">
        <f t="shared" si="13"/>
        <v>46733</v>
      </c>
      <c r="M100" s="5">
        <f t="shared" si="16"/>
        <v>46730</v>
      </c>
    </row>
    <row r="101" spans="2:13" x14ac:dyDescent="0.35">
      <c r="B101" s="1"/>
      <c r="H101" s="5">
        <f t="shared" si="17"/>
        <v>46734</v>
      </c>
      <c r="J101" s="5">
        <f t="shared" si="13"/>
        <v>46740</v>
      </c>
      <c r="M101" s="5">
        <f t="shared" si="16"/>
        <v>46737</v>
      </c>
    </row>
    <row r="102" spans="2:13" x14ac:dyDescent="0.35">
      <c r="B102" s="1"/>
      <c r="H102" s="5">
        <f t="shared" si="17"/>
        <v>46741</v>
      </c>
      <c r="J102" s="5">
        <f t="shared" si="13"/>
        <v>46747</v>
      </c>
      <c r="M102" s="5">
        <f t="shared" si="16"/>
        <v>46744</v>
      </c>
    </row>
    <row r="103" spans="2:13" x14ac:dyDescent="0.35">
      <c r="B103" s="1"/>
      <c r="H103" s="5">
        <f>H102+7</f>
        <v>46748</v>
      </c>
      <c r="J103" s="5">
        <f t="shared" si="13"/>
        <v>46754</v>
      </c>
      <c r="M103" s="5">
        <f t="shared" si="16"/>
        <v>46751</v>
      </c>
    </row>
    <row r="104" spans="2:13" x14ac:dyDescent="0.35">
      <c r="B104" s="1"/>
      <c r="H104" s="5">
        <f t="shared" si="17"/>
        <v>46755</v>
      </c>
    </row>
    <row r="105" spans="2:13" x14ac:dyDescent="0.35">
      <c r="B105" s="1"/>
      <c r="H105" s="1"/>
    </row>
    <row r="106" spans="2:13" x14ac:dyDescent="0.35">
      <c r="B106" s="1"/>
    </row>
    <row r="107" spans="2:13" x14ac:dyDescent="0.35">
      <c r="B107" s="1"/>
    </row>
    <row r="108" spans="2:13" x14ac:dyDescent="0.35">
      <c r="B108" s="1"/>
    </row>
    <row r="109" spans="2:13" x14ac:dyDescent="0.35">
      <c r="B109" s="1"/>
    </row>
    <row r="110" spans="2:13" x14ac:dyDescent="0.35">
      <c r="B110" s="1"/>
    </row>
    <row r="111" spans="2:13" x14ac:dyDescent="0.35">
      <c r="B111" s="1"/>
    </row>
    <row r="112" spans="2:13" x14ac:dyDescent="0.35">
      <c r="B112" s="1"/>
    </row>
    <row r="113" spans="2:2" x14ac:dyDescent="0.35">
      <c r="B113" s="1"/>
    </row>
    <row r="114" spans="2:2" x14ac:dyDescent="0.35">
      <c r="B114" s="1"/>
    </row>
    <row r="115" spans="2:2" x14ac:dyDescent="0.35">
      <c r="B115" s="1"/>
    </row>
    <row r="116" spans="2:2" x14ac:dyDescent="0.35">
      <c r="B116" s="1"/>
    </row>
    <row r="117" spans="2:2" x14ac:dyDescent="0.35">
      <c r="B117" s="1"/>
    </row>
    <row r="118" spans="2:2" x14ac:dyDescent="0.35">
      <c r="B118" s="1"/>
    </row>
    <row r="119" spans="2:2" x14ac:dyDescent="0.35">
      <c r="B119" s="1"/>
    </row>
    <row r="120" spans="2:2" x14ac:dyDescent="0.35">
      <c r="B120" s="1"/>
    </row>
    <row r="121" spans="2:2" x14ac:dyDescent="0.35">
      <c r="B121" s="1"/>
    </row>
    <row r="122" spans="2:2" x14ac:dyDescent="0.35">
      <c r="B122" s="1"/>
    </row>
    <row r="123" spans="2:2" x14ac:dyDescent="0.35">
      <c r="B123" s="1"/>
    </row>
    <row r="124" spans="2:2" x14ac:dyDescent="0.35">
      <c r="B124" s="1"/>
    </row>
    <row r="125" spans="2:2" x14ac:dyDescent="0.35">
      <c r="B125" s="1"/>
    </row>
    <row r="126" spans="2:2" x14ac:dyDescent="0.35">
      <c r="B126" s="1"/>
    </row>
    <row r="127" spans="2:2" x14ac:dyDescent="0.35">
      <c r="B127" s="1"/>
    </row>
    <row r="128" spans="2:2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  <row r="132" spans="2:2" x14ac:dyDescent="0.35">
      <c r="B132" s="1"/>
    </row>
    <row r="133" spans="2:2" x14ac:dyDescent="0.35">
      <c r="B133" s="1"/>
    </row>
    <row r="134" spans="2:2" x14ac:dyDescent="0.35">
      <c r="B134" s="1"/>
    </row>
    <row r="135" spans="2:2" x14ac:dyDescent="0.35">
      <c r="B135" s="1"/>
    </row>
    <row r="136" spans="2:2" x14ac:dyDescent="0.35">
      <c r="B1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9C83-5585-4ACC-9F40-AAEA8DEF72C1}">
  <dimension ref="A1:F5"/>
  <sheetViews>
    <sheetView workbookViewId="0">
      <selection activeCell="F6" sqref="F6"/>
    </sheetView>
  </sheetViews>
  <sheetFormatPr baseColWidth="10" defaultRowHeight="14.5" x14ac:dyDescent="0.35"/>
  <sheetData>
    <row r="1" spans="1:6" ht="42.5" thickBot="1" x14ac:dyDescent="0.4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6" ht="84.5" thickBot="1" x14ac:dyDescent="0.4">
      <c r="A2" s="2">
        <v>2022</v>
      </c>
      <c r="B2" s="3" t="s">
        <v>162</v>
      </c>
      <c r="C2" s="3" t="s">
        <v>163</v>
      </c>
      <c r="D2" s="3" t="s">
        <v>164</v>
      </c>
      <c r="E2" s="3" t="s">
        <v>165</v>
      </c>
      <c r="F2" s="1">
        <v>44728</v>
      </c>
    </row>
    <row r="3" spans="1:6" ht="56.5" thickBot="1" x14ac:dyDescent="0.4">
      <c r="A3" s="2">
        <v>2023</v>
      </c>
      <c r="B3" s="3" t="s">
        <v>166</v>
      </c>
      <c r="C3" s="3" t="s">
        <v>167</v>
      </c>
      <c r="D3" s="3" t="s">
        <v>168</v>
      </c>
      <c r="E3" s="3" t="s">
        <v>169</v>
      </c>
      <c r="F3" s="1">
        <v>45078</v>
      </c>
    </row>
    <row r="4" spans="1:6" ht="56.5" thickBot="1" x14ac:dyDescent="0.4">
      <c r="A4" s="2">
        <v>2024</v>
      </c>
      <c r="B4" s="3" t="s">
        <v>170</v>
      </c>
      <c r="C4" s="3" t="s">
        <v>171</v>
      </c>
      <c r="D4" s="3" t="s">
        <v>172</v>
      </c>
      <c r="E4" s="3" t="s">
        <v>173</v>
      </c>
      <c r="F4" s="1">
        <v>45460</v>
      </c>
    </row>
    <row r="5" spans="1:6" ht="112.5" thickBot="1" x14ac:dyDescent="0.4">
      <c r="A5" s="2">
        <v>2025</v>
      </c>
      <c r="B5" s="7" t="s">
        <v>174</v>
      </c>
      <c r="C5" s="3" t="s">
        <v>175</v>
      </c>
      <c r="D5" s="3" t="s">
        <v>176</v>
      </c>
      <c r="E5" s="7" t="s">
        <v>177</v>
      </c>
      <c r="F5" s="1">
        <v>45830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83CF-28E5-47CE-B16F-35B62BA3AB9C}">
  <dimension ref="A1:L18"/>
  <sheetViews>
    <sheetView topLeftCell="A8" workbookViewId="0">
      <selection activeCell="M5" sqref="M5"/>
    </sheetView>
  </sheetViews>
  <sheetFormatPr baseColWidth="10" defaultRowHeight="14.5" x14ac:dyDescent="0.35"/>
  <sheetData>
    <row r="1" spans="1:12" ht="15" thickBot="1" x14ac:dyDescent="0.4">
      <c r="A1" s="2" t="s">
        <v>6</v>
      </c>
      <c r="B1" s="2" t="s">
        <v>7</v>
      </c>
      <c r="C1" s="2" t="s">
        <v>8</v>
      </c>
      <c r="D1" s="2" t="s">
        <v>6</v>
      </c>
      <c r="E1" s="2" t="s">
        <v>7</v>
      </c>
      <c r="F1" s="2" t="s">
        <v>8</v>
      </c>
      <c r="G1" s="2" t="s">
        <v>6</v>
      </c>
      <c r="H1" s="2" t="s">
        <v>7</v>
      </c>
      <c r="I1" s="2" t="s">
        <v>8</v>
      </c>
      <c r="J1" s="2" t="s">
        <v>6</v>
      </c>
      <c r="K1" s="2" t="s">
        <v>7</v>
      </c>
      <c r="L1" s="2" t="s">
        <v>8</v>
      </c>
    </row>
    <row r="2" spans="1:12" ht="56.5" thickBot="1" x14ac:dyDescent="0.4">
      <c r="A2" s="3">
        <v>1</v>
      </c>
      <c r="B2" s="3" t="s">
        <v>9</v>
      </c>
      <c r="C2" s="2" t="s">
        <v>10</v>
      </c>
      <c r="D2" s="3">
        <v>1</v>
      </c>
      <c r="E2" s="3" t="s">
        <v>9</v>
      </c>
      <c r="F2" s="2" t="s">
        <v>27</v>
      </c>
      <c r="G2" s="3">
        <v>1</v>
      </c>
      <c r="H2" s="3" t="s">
        <v>9</v>
      </c>
      <c r="I2" s="2" t="s">
        <v>45</v>
      </c>
      <c r="J2" s="3">
        <v>1</v>
      </c>
      <c r="K2" s="3" t="s">
        <v>9</v>
      </c>
      <c r="L2" s="2" t="s">
        <v>63</v>
      </c>
    </row>
    <row r="3" spans="1:12" ht="84.5" thickBot="1" x14ac:dyDescent="0.4">
      <c r="A3" s="3">
        <v>2</v>
      </c>
      <c r="B3" s="3" t="s">
        <v>9</v>
      </c>
      <c r="C3" s="2" t="s">
        <v>11</v>
      </c>
      <c r="D3" s="3">
        <v>2</v>
      </c>
      <c r="E3" s="3" t="s">
        <v>9</v>
      </c>
      <c r="F3" s="2" t="s">
        <v>28</v>
      </c>
      <c r="G3" s="3">
        <v>2</v>
      </c>
      <c r="H3" s="3" t="s">
        <v>9</v>
      </c>
      <c r="I3" s="2" t="s">
        <v>46</v>
      </c>
      <c r="J3" s="3">
        <v>2</v>
      </c>
      <c r="K3" s="3" t="s">
        <v>9</v>
      </c>
      <c r="L3" s="2" t="s">
        <v>64</v>
      </c>
    </row>
    <row r="4" spans="1:12" ht="84.5" thickBot="1" x14ac:dyDescent="0.4">
      <c r="A4" s="3">
        <v>3</v>
      </c>
      <c r="B4" s="3" t="s">
        <v>9</v>
      </c>
      <c r="C4" s="2" t="s">
        <v>12</v>
      </c>
      <c r="D4" s="3">
        <v>3</v>
      </c>
      <c r="E4" s="3" t="s">
        <v>9</v>
      </c>
      <c r="F4" s="2" t="s">
        <v>29</v>
      </c>
      <c r="G4" s="3">
        <v>3</v>
      </c>
      <c r="H4" s="3" t="s">
        <v>9</v>
      </c>
      <c r="I4" s="2" t="s">
        <v>47</v>
      </c>
      <c r="J4" s="3">
        <v>3</v>
      </c>
      <c r="K4" s="3" t="s">
        <v>9</v>
      </c>
      <c r="L4" s="2" t="s">
        <v>65</v>
      </c>
    </row>
    <row r="5" spans="1:12" ht="84.5" thickBot="1" x14ac:dyDescent="0.4">
      <c r="A5" s="3">
        <v>4</v>
      </c>
      <c r="B5" s="3" t="s">
        <v>9</v>
      </c>
      <c r="C5" s="2" t="s">
        <v>13</v>
      </c>
      <c r="D5" s="3">
        <v>4</v>
      </c>
      <c r="E5" s="3" t="s">
        <v>9</v>
      </c>
      <c r="F5" s="2" t="s">
        <v>30</v>
      </c>
      <c r="G5" s="3">
        <v>4</v>
      </c>
      <c r="H5" s="3" t="s">
        <v>9</v>
      </c>
      <c r="I5" s="2" t="s">
        <v>48</v>
      </c>
      <c r="J5" s="3">
        <v>4</v>
      </c>
      <c r="K5" s="3" t="s">
        <v>9</v>
      </c>
      <c r="L5" s="2" t="s">
        <v>66</v>
      </c>
    </row>
    <row r="6" spans="1:12" ht="42.5" thickBot="1" x14ac:dyDescent="0.4">
      <c r="A6" s="3">
        <v>5</v>
      </c>
      <c r="B6" s="3" t="s">
        <v>9</v>
      </c>
      <c r="C6" s="2" t="s">
        <v>14</v>
      </c>
      <c r="D6" s="3">
        <v>5</v>
      </c>
      <c r="E6" s="3" t="s">
        <v>9</v>
      </c>
      <c r="F6" s="2" t="s">
        <v>31</v>
      </c>
      <c r="G6" s="3">
        <v>5</v>
      </c>
      <c r="H6" s="3" t="s">
        <v>9</v>
      </c>
      <c r="I6" s="2" t="s">
        <v>49</v>
      </c>
      <c r="J6" s="3">
        <v>5</v>
      </c>
      <c r="K6" s="3" t="s">
        <v>9</v>
      </c>
      <c r="L6" s="2" t="s">
        <v>67</v>
      </c>
    </row>
    <row r="7" spans="1:12" ht="70.5" thickBot="1" x14ac:dyDescent="0.4">
      <c r="A7" s="3">
        <v>6</v>
      </c>
      <c r="B7" s="3" t="s">
        <v>9</v>
      </c>
      <c r="C7" s="2" t="s">
        <v>15</v>
      </c>
      <c r="D7" s="3">
        <v>6</v>
      </c>
      <c r="E7" s="3" t="s">
        <v>9</v>
      </c>
      <c r="F7" s="2" t="s">
        <v>32</v>
      </c>
      <c r="G7" s="3">
        <v>6</v>
      </c>
      <c r="H7" s="3" t="s">
        <v>9</v>
      </c>
      <c r="I7" s="2" t="s">
        <v>50</v>
      </c>
      <c r="J7" s="3">
        <v>6</v>
      </c>
      <c r="K7" s="3" t="s">
        <v>9</v>
      </c>
      <c r="L7" s="2" t="s">
        <v>68</v>
      </c>
    </row>
    <row r="8" spans="1:12" ht="70.5" thickBot="1" x14ac:dyDescent="0.4">
      <c r="A8" s="3">
        <v>7</v>
      </c>
      <c r="B8" s="3" t="s">
        <v>9</v>
      </c>
      <c r="C8" s="2" t="s">
        <v>16</v>
      </c>
      <c r="D8" s="3">
        <v>7</v>
      </c>
      <c r="E8" s="3" t="s">
        <v>9</v>
      </c>
      <c r="F8" s="2" t="s">
        <v>33</v>
      </c>
      <c r="G8" s="3">
        <v>7</v>
      </c>
      <c r="H8" s="3" t="s">
        <v>9</v>
      </c>
      <c r="I8" s="2" t="s">
        <v>51</v>
      </c>
      <c r="J8" s="3">
        <v>7</v>
      </c>
      <c r="K8" s="3" t="s">
        <v>9</v>
      </c>
      <c r="L8" s="2" t="s">
        <v>69</v>
      </c>
    </row>
    <row r="9" spans="1:12" ht="42.5" thickBot="1" x14ac:dyDescent="0.4">
      <c r="A9" s="3">
        <v>8</v>
      </c>
      <c r="B9" s="3" t="s">
        <v>9</v>
      </c>
      <c r="C9" s="2" t="s">
        <v>17</v>
      </c>
      <c r="D9" s="3">
        <v>8</v>
      </c>
      <c r="E9" s="3" t="s">
        <v>9</v>
      </c>
      <c r="F9" s="2" t="s">
        <v>34</v>
      </c>
      <c r="G9" s="3">
        <v>8</v>
      </c>
      <c r="H9" s="3" t="s">
        <v>9</v>
      </c>
      <c r="I9" s="2" t="s">
        <v>52</v>
      </c>
      <c r="J9" s="3">
        <v>8</v>
      </c>
      <c r="K9" s="3" t="s">
        <v>9</v>
      </c>
      <c r="L9" s="2" t="s">
        <v>70</v>
      </c>
    </row>
    <row r="10" spans="1:12" ht="42.5" thickBot="1" x14ac:dyDescent="0.4">
      <c r="A10" s="3">
        <v>9</v>
      </c>
      <c r="B10" s="3" t="s">
        <v>9</v>
      </c>
      <c r="C10" s="2" t="s">
        <v>18</v>
      </c>
      <c r="D10" s="3">
        <v>9</v>
      </c>
      <c r="E10" s="3" t="s">
        <v>9</v>
      </c>
      <c r="F10" s="2" t="s">
        <v>35</v>
      </c>
      <c r="G10" s="3">
        <v>9</v>
      </c>
      <c r="H10" s="3" t="s">
        <v>9</v>
      </c>
      <c r="I10" s="2" t="s">
        <v>53</v>
      </c>
      <c r="J10" s="3">
        <v>9</v>
      </c>
      <c r="K10" s="3" t="s">
        <v>9</v>
      </c>
      <c r="L10" s="2" t="s">
        <v>71</v>
      </c>
    </row>
    <row r="11" spans="1:12" ht="42.5" thickBot="1" x14ac:dyDescent="0.4">
      <c r="A11" s="3">
        <v>10</v>
      </c>
      <c r="B11" s="3" t="s">
        <v>9</v>
      </c>
      <c r="C11" s="2" t="s">
        <v>19</v>
      </c>
      <c r="D11" s="3">
        <v>10</v>
      </c>
      <c r="E11" s="3" t="s">
        <v>9</v>
      </c>
      <c r="F11" s="2" t="s">
        <v>36</v>
      </c>
      <c r="G11" s="3">
        <v>10</v>
      </c>
      <c r="H11" s="3" t="s">
        <v>9</v>
      </c>
      <c r="I11" s="2" t="s">
        <v>54</v>
      </c>
      <c r="J11" s="3">
        <v>10</v>
      </c>
      <c r="K11" s="3" t="s">
        <v>9</v>
      </c>
      <c r="L11" s="2" t="s">
        <v>72</v>
      </c>
    </row>
    <row r="12" spans="1:12" ht="84.5" thickBot="1" x14ac:dyDescent="0.4">
      <c r="A12" s="3">
        <v>11</v>
      </c>
      <c r="B12" s="3" t="s">
        <v>9</v>
      </c>
      <c r="C12" s="2" t="s">
        <v>20</v>
      </c>
      <c r="D12" s="3">
        <v>11</v>
      </c>
      <c r="E12" s="3" t="s">
        <v>9</v>
      </c>
      <c r="F12" s="2" t="s">
        <v>37</v>
      </c>
      <c r="G12" s="3">
        <v>11</v>
      </c>
      <c r="H12" s="3" t="s">
        <v>9</v>
      </c>
      <c r="I12" s="2" t="s">
        <v>55</v>
      </c>
      <c r="J12" s="3">
        <v>11</v>
      </c>
      <c r="K12" s="3" t="s">
        <v>9</v>
      </c>
      <c r="L12" s="2" t="s">
        <v>73</v>
      </c>
    </row>
    <row r="13" spans="1:12" ht="42.5" thickBot="1" x14ac:dyDescent="0.4">
      <c r="A13" s="3">
        <v>12</v>
      </c>
      <c r="B13" s="3" t="s">
        <v>9</v>
      </c>
      <c r="C13" s="2" t="s">
        <v>21</v>
      </c>
      <c r="D13" s="3">
        <v>12</v>
      </c>
      <c r="E13" s="3" t="s">
        <v>9</v>
      </c>
      <c r="F13" s="2" t="s">
        <v>38</v>
      </c>
      <c r="G13" s="3">
        <v>12</v>
      </c>
      <c r="H13" s="3" t="s">
        <v>9</v>
      </c>
      <c r="I13" s="2" t="s">
        <v>56</v>
      </c>
      <c r="J13" s="3">
        <v>12</v>
      </c>
      <c r="K13" s="3" t="s">
        <v>9</v>
      </c>
      <c r="L13" s="2" t="s">
        <v>74</v>
      </c>
    </row>
    <row r="14" spans="1:12" ht="42.5" thickBot="1" x14ac:dyDescent="0.4">
      <c r="A14" s="3">
        <v>13</v>
      </c>
      <c r="B14" s="3" t="s">
        <v>9</v>
      </c>
      <c r="C14" s="2" t="s">
        <v>22</v>
      </c>
      <c r="D14" s="3">
        <v>13</v>
      </c>
      <c r="E14" s="3" t="s">
        <v>9</v>
      </c>
      <c r="F14" s="2" t="s">
        <v>39</v>
      </c>
      <c r="G14" s="3">
        <v>13</v>
      </c>
      <c r="H14" s="3" t="s">
        <v>9</v>
      </c>
      <c r="I14" s="2" t="s">
        <v>57</v>
      </c>
      <c r="J14" s="3">
        <v>13</v>
      </c>
      <c r="K14" s="3" t="s">
        <v>9</v>
      </c>
      <c r="L14" s="2" t="s">
        <v>75</v>
      </c>
    </row>
    <row r="15" spans="1:12" ht="70.5" thickBot="1" x14ac:dyDescent="0.4">
      <c r="A15" s="3">
        <v>14</v>
      </c>
      <c r="B15" s="3" t="s">
        <v>9</v>
      </c>
      <c r="C15" s="2" t="s">
        <v>23</v>
      </c>
      <c r="D15" s="3">
        <v>14</v>
      </c>
      <c r="E15" s="3" t="s">
        <v>9</v>
      </c>
      <c r="F15" s="2" t="s">
        <v>40</v>
      </c>
      <c r="G15" s="3">
        <v>14</v>
      </c>
      <c r="H15" s="3" t="s">
        <v>9</v>
      </c>
      <c r="I15" s="2" t="s">
        <v>58</v>
      </c>
      <c r="J15" s="3">
        <v>14</v>
      </c>
      <c r="K15" s="3" t="s">
        <v>9</v>
      </c>
      <c r="L15" s="2" t="s">
        <v>76</v>
      </c>
    </row>
    <row r="16" spans="1:12" ht="70.5" thickBot="1" x14ac:dyDescent="0.4">
      <c r="A16" s="3">
        <v>15</v>
      </c>
      <c r="B16" s="3" t="s">
        <v>9</v>
      </c>
      <c r="C16" s="2" t="s">
        <v>24</v>
      </c>
      <c r="D16" s="3">
        <v>15</v>
      </c>
      <c r="E16" s="3" t="s">
        <v>9</v>
      </c>
      <c r="F16" s="2" t="s">
        <v>41</v>
      </c>
      <c r="G16" s="3">
        <v>15</v>
      </c>
      <c r="H16" s="3" t="s">
        <v>9</v>
      </c>
      <c r="I16" s="2" t="s">
        <v>59</v>
      </c>
      <c r="J16" s="3">
        <v>15</v>
      </c>
      <c r="K16" s="3" t="s">
        <v>9</v>
      </c>
      <c r="L16" s="2" t="s">
        <v>77</v>
      </c>
    </row>
    <row r="17" spans="1:12" ht="70.5" thickBot="1" x14ac:dyDescent="0.4">
      <c r="A17" s="3">
        <v>16</v>
      </c>
      <c r="B17" s="3" t="s">
        <v>9</v>
      </c>
      <c r="C17" s="2" t="s">
        <v>25</v>
      </c>
      <c r="D17" s="3">
        <v>16</v>
      </c>
      <c r="E17" s="3" t="s">
        <v>9</v>
      </c>
      <c r="F17" s="2" t="s">
        <v>42</v>
      </c>
      <c r="G17" s="3">
        <v>16</v>
      </c>
      <c r="H17" s="3" t="s">
        <v>9</v>
      </c>
      <c r="I17" s="2" t="s">
        <v>60</v>
      </c>
      <c r="J17" s="3">
        <v>16</v>
      </c>
      <c r="K17" s="3" t="s">
        <v>9</v>
      </c>
      <c r="L17" s="2" t="s">
        <v>78</v>
      </c>
    </row>
    <row r="18" spans="1:12" ht="70.5" thickBot="1" x14ac:dyDescent="0.4">
      <c r="A18" s="3">
        <v>17</v>
      </c>
      <c r="B18" s="3" t="s">
        <v>9</v>
      </c>
      <c r="C18" s="2" t="s">
        <v>26</v>
      </c>
      <c r="D18" s="3">
        <v>17</v>
      </c>
      <c r="E18" s="3" t="s">
        <v>43</v>
      </c>
      <c r="F18" s="2" t="s">
        <v>44</v>
      </c>
      <c r="G18" s="3">
        <v>17</v>
      </c>
      <c r="H18" s="3" t="s">
        <v>9</v>
      </c>
      <c r="I18" s="2" t="s">
        <v>61</v>
      </c>
      <c r="J18" s="3">
        <v>17</v>
      </c>
      <c r="K18" s="3" t="s">
        <v>9</v>
      </c>
      <c r="L18" s="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1ACD-EBB5-4E8A-A6FD-F40F9B93C8EA}">
  <dimension ref="A1:P19"/>
  <sheetViews>
    <sheetView topLeftCell="B12" workbookViewId="0">
      <selection activeCell="P2" sqref="P2:P18"/>
    </sheetView>
  </sheetViews>
  <sheetFormatPr baseColWidth="10" defaultRowHeight="14.5" x14ac:dyDescent="0.35"/>
  <cols>
    <col min="2" max="2" width="20.6328125" customWidth="1"/>
  </cols>
  <sheetData>
    <row r="1" spans="1:16" ht="28.5" thickBot="1" x14ac:dyDescent="0.4">
      <c r="A1" s="2" t="s">
        <v>6</v>
      </c>
      <c r="B1" s="2" t="s">
        <v>85</v>
      </c>
      <c r="D1" s="2" t="s">
        <v>6</v>
      </c>
      <c r="E1" s="2" t="s">
        <v>85</v>
      </c>
      <c r="G1" s="2" t="s">
        <v>6</v>
      </c>
      <c r="H1" s="2" t="s">
        <v>85</v>
      </c>
      <c r="J1" s="2" t="s">
        <v>6</v>
      </c>
      <c r="K1" s="2" t="s">
        <v>85</v>
      </c>
      <c r="M1" s="2" t="s">
        <v>6</v>
      </c>
      <c r="N1" s="2" t="s">
        <v>85</v>
      </c>
      <c r="O1" s="2" t="s">
        <v>6</v>
      </c>
      <c r="P1" s="2" t="s">
        <v>85</v>
      </c>
    </row>
    <row r="2" spans="1:16" ht="42.5" thickBot="1" x14ac:dyDescent="0.4">
      <c r="A2" s="3" t="s">
        <v>86</v>
      </c>
      <c r="B2" s="3" t="s">
        <v>87</v>
      </c>
      <c r="C2" s="1">
        <v>44812</v>
      </c>
      <c r="D2" s="3" t="s">
        <v>86</v>
      </c>
      <c r="E2" s="3" t="s">
        <v>105</v>
      </c>
      <c r="F2" s="1">
        <v>45176</v>
      </c>
      <c r="G2" s="3" t="s">
        <v>86</v>
      </c>
      <c r="H2" s="3" t="s">
        <v>122</v>
      </c>
      <c r="I2" s="1">
        <v>45540</v>
      </c>
      <c r="J2" s="3" t="s">
        <v>86</v>
      </c>
      <c r="K2" s="3" t="s">
        <v>140</v>
      </c>
      <c r="L2" s="1">
        <v>45904</v>
      </c>
      <c r="N2" s="1">
        <v>46275</v>
      </c>
      <c r="P2" s="1">
        <v>46639</v>
      </c>
    </row>
    <row r="3" spans="1:16" ht="42.5" thickBot="1" x14ac:dyDescent="0.4">
      <c r="A3" s="3">
        <v>2</v>
      </c>
      <c r="B3" s="3" t="s">
        <v>88</v>
      </c>
      <c r="C3" s="1">
        <f>C2+7</f>
        <v>44819</v>
      </c>
      <c r="D3" s="3">
        <v>2</v>
      </c>
      <c r="E3" s="3" t="s">
        <v>106</v>
      </c>
      <c r="F3" s="1">
        <f t="shared" ref="F3:F12" si="0">F2+7</f>
        <v>45183</v>
      </c>
      <c r="G3" s="3">
        <v>2</v>
      </c>
      <c r="H3" s="3" t="s">
        <v>123</v>
      </c>
      <c r="I3" s="1">
        <f>I2+7</f>
        <v>45547</v>
      </c>
      <c r="J3" s="3">
        <v>2</v>
      </c>
      <c r="K3" s="3" t="s">
        <v>141</v>
      </c>
      <c r="L3" s="1">
        <f>L2+7</f>
        <v>45911</v>
      </c>
      <c r="N3" s="1">
        <f>N2+7</f>
        <v>46282</v>
      </c>
      <c r="P3" s="1">
        <f>P2+7</f>
        <v>46646</v>
      </c>
    </row>
    <row r="4" spans="1:16" ht="42.5" thickBot="1" x14ac:dyDescent="0.4">
      <c r="A4" s="3">
        <v>3</v>
      </c>
      <c r="B4" s="3" t="s">
        <v>89</v>
      </c>
      <c r="C4" s="1">
        <f t="shared" ref="C4:C18" si="1">C3+7</f>
        <v>44826</v>
      </c>
      <c r="D4" s="3">
        <v>3</v>
      </c>
      <c r="E4" s="3" t="s">
        <v>107</v>
      </c>
      <c r="F4" s="1">
        <f t="shared" si="0"/>
        <v>45190</v>
      </c>
      <c r="G4" s="3">
        <v>3</v>
      </c>
      <c r="H4" s="3" t="s">
        <v>124</v>
      </c>
      <c r="I4" s="1">
        <f t="shared" ref="I4:I18" si="2">I3+7</f>
        <v>45554</v>
      </c>
      <c r="J4" s="3">
        <v>3</v>
      </c>
      <c r="K4" s="3" t="s">
        <v>142</v>
      </c>
      <c r="L4" s="1">
        <f t="shared" ref="L4:L18" si="3">L3+7</f>
        <v>45918</v>
      </c>
      <c r="N4" s="1">
        <f>N3+7</f>
        <v>46289</v>
      </c>
      <c r="P4" s="1">
        <f t="shared" ref="P4:P18" si="4">P3+7</f>
        <v>46653</v>
      </c>
    </row>
    <row r="5" spans="1:16" ht="42.5" thickBot="1" x14ac:dyDescent="0.4">
      <c r="A5" s="3">
        <v>4</v>
      </c>
      <c r="B5" s="3" t="s">
        <v>90</v>
      </c>
      <c r="C5" s="1">
        <f t="shared" si="1"/>
        <v>44833</v>
      </c>
      <c r="D5" s="3">
        <v>4</v>
      </c>
      <c r="E5" s="3" t="s">
        <v>108</v>
      </c>
      <c r="F5" s="1">
        <f t="shared" si="0"/>
        <v>45197</v>
      </c>
      <c r="G5" s="3">
        <v>4</v>
      </c>
      <c r="H5" s="3" t="s">
        <v>125</v>
      </c>
      <c r="I5" s="1">
        <f t="shared" si="2"/>
        <v>45561</v>
      </c>
      <c r="J5" s="3">
        <v>4</v>
      </c>
      <c r="K5" s="3" t="s">
        <v>143</v>
      </c>
      <c r="L5" s="1">
        <f t="shared" si="3"/>
        <v>45925</v>
      </c>
      <c r="N5" s="1">
        <f t="shared" ref="N5:N18" si="5">N4+7</f>
        <v>46296</v>
      </c>
      <c r="P5" s="1">
        <f t="shared" si="4"/>
        <v>46660</v>
      </c>
    </row>
    <row r="6" spans="1:16" ht="42.5" thickBot="1" x14ac:dyDescent="0.4">
      <c r="A6" s="3">
        <v>5</v>
      </c>
      <c r="B6" s="3" t="s">
        <v>91</v>
      </c>
      <c r="C6" s="1">
        <f t="shared" si="1"/>
        <v>44840</v>
      </c>
      <c r="D6" s="3">
        <v>5</v>
      </c>
      <c r="E6" s="3" t="s">
        <v>109</v>
      </c>
      <c r="F6" s="1">
        <f t="shared" si="0"/>
        <v>45204</v>
      </c>
      <c r="G6" s="3">
        <v>5</v>
      </c>
      <c r="H6" s="3" t="s">
        <v>126</v>
      </c>
      <c r="I6" s="1">
        <f t="shared" si="2"/>
        <v>45568</v>
      </c>
      <c r="J6" s="3">
        <v>5</v>
      </c>
      <c r="K6" s="3" t="s">
        <v>144</v>
      </c>
      <c r="L6" s="1">
        <f t="shared" si="3"/>
        <v>45932</v>
      </c>
      <c r="N6" s="1">
        <f t="shared" si="5"/>
        <v>46303</v>
      </c>
      <c r="P6" s="1">
        <f t="shared" si="4"/>
        <v>46667</v>
      </c>
    </row>
    <row r="7" spans="1:16" ht="42.5" thickBot="1" x14ac:dyDescent="0.4">
      <c r="A7" s="3">
        <v>6</v>
      </c>
      <c r="B7" s="3" t="s">
        <v>92</v>
      </c>
      <c r="C7" s="1">
        <f t="shared" si="1"/>
        <v>44847</v>
      </c>
      <c r="D7" s="3">
        <v>6</v>
      </c>
      <c r="E7" s="3" t="s">
        <v>110</v>
      </c>
      <c r="F7" s="1">
        <f t="shared" si="0"/>
        <v>45211</v>
      </c>
      <c r="G7" s="3">
        <v>6</v>
      </c>
      <c r="H7" s="3" t="s">
        <v>127</v>
      </c>
      <c r="I7" s="1">
        <f t="shared" si="2"/>
        <v>45575</v>
      </c>
      <c r="J7" s="3">
        <v>6</v>
      </c>
      <c r="K7" s="3" t="s">
        <v>145</v>
      </c>
      <c r="L7" s="1">
        <f t="shared" si="3"/>
        <v>45939</v>
      </c>
      <c r="N7" s="1">
        <f t="shared" si="5"/>
        <v>46310</v>
      </c>
      <c r="P7" s="1">
        <f t="shared" si="4"/>
        <v>46674</v>
      </c>
    </row>
    <row r="8" spans="1:16" ht="42.5" thickBot="1" x14ac:dyDescent="0.4">
      <c r="A8" s="3">
        <v>7</v>
      </c>
      <c r="B8" s="3" t="s">
        <v>93</v>
      </c>
      <c r="C8" s="1">
        <f t="shared" si="1"/>
        <v>44854</v>
      </c>
      <c r="D8" s="3">
        <v>7</v>
      </c>
      <c r="E8" s="3" t="s">
        <v>111</v>
      </c>
      <c r="F8" s="1">
        <f t="shared" si="0"/>
        <v>45218</v>
      </c>
      <c r="G8" s="3">
        <v>7</v>
      </c>
      <c r="H8" s="3" t="s">
        <v>128</v>
      </c>
      <c r="I8" s="1">
        <f t="shared" si="2"/>
        <v>45582</v>
      </c>
      <c r="J8" s="3">
        <v>7</v>
      </c>
      <c r="K8" s="3" t="s">
        <v>146</v>
      </c>
      <c r="L8" s="1">
        <f t="shared" si="3"/>
        <v>45946</v>
      </c>
      <c r="N8" s="1">
        <f t="shared" si="5"/>
        <v>46317</v>
      </c>
      <c r="P8" s="1">
        <f t="shared" si="4"/>
        <v>46681</v>
      </c>
    </row>
    <row r="9" spans="1:16" ht="42.5" thickBot="1" x14ac:dyDescent="0.4">
      <c r="A9" s="3">
        <v>8</v>
      </c>
      <c r="B9" s="3" t="s">
        <v>94</v>
      </c>
      <c r="C9" s="1">
        <f t="shared" si="1"/>
        <v>44861</v>
      </c>
      <c r="D9" s="3">
        <v>8</v>
      </c>
      <c r="E9" s="3" t="s">
        <v>112</v>
      </c>
      <c r="F9" s="1">
        <f t="shared" si="0"/>
        <v>45225</v>
      </c>
      <c r="G9" s="3">
        <v>8</v>
      </c>
      <c r="H9" s="3" t="s">
        <v>129</v>
      </c>
      <c r="I9" s="1">
        <f>I8+7</f>
        <v>45589</v>
      </c>
      <c r="J9" s="3">
        <v>8</v>
      </c>
      <c r="K9" s="3" t="s">
        <v>147</v>
      </c>
      <c r="L9" s="1">
        <f t="shared" si="3"/>
        <v>45953</v>
      </c>
      <c r="N9" s="1">
        <f t="shared" si="5"/>
        <v>46324</v>
      </c>
      <c r="P9" s="1">
        <f t="shared" si="4"/>
        <v>46688</v>
      </c>
    </row>
    <row r="10" spans="1:16" ht="42.5" thickBot="1" x14ac:dyDescent="0.4">
      <c r="A10" s="3">
        <v>9</v>
      </c>
      <c r="B10" s="3" t="s">
        <v>95</v>
      </c>
      <c r="C10" s="1">
        <f t="shared" si="1"/>
        <v>44868</v>
      </c>
      <c r="D10" s="3">
        <v>9</v>
      </c>
      <c r="E10" s="3" t="s">
        <v>113</v>
      </c>
      <c r="F10" s="1">
        <f t="shared" si="0"/>
        <v>45232</v>
      </c>
      <c r="G10" s="3">
        <v>9</v>
      </c>
      <c r="H10" s="3" t="s">
        <v>130</v>
      </c>
      <c r="I10" s="1">
        <f t="shared" si="2"/>
        <v>45596</v>
      </c>
      <c r="J10" s="3">
        <v>9</v>
      </c>
      <c r="K10" s="3" t="s">
        <v>148</v>
      </c>
      <c r="L10" s="1">
        <f t="shared" si="3"/>
        <v>45960</v>
      </c>
      <c r="N10" s="1">
        <f t="shared" si="5"/>
        <v>46331</v>
      </c>
      <c r="P10" s="1">
        <f t="shared" si="4"/>
        <v>46695</v>
      </c>
    </row>
    <row r="11" spans="1:16" ht="42.5" thickBot="1" x14ac:dyDescent="0.4">
      <c r="A11" s="3">
        <v>10</v>
      </c>
      <c r="B11" s="3" t="s">
        <v>96</v>
      </c>
      <c r="C11" s="1">
        <f t="shared" si="1"/>
        <v>44875</v>
      </c>
      <c r="D11" s="3">
        <v>10</v>
      </c>
      <c r="E11" s="3" t="s">
        <v>114</v>
      </c>
      <c r="F11" s="1">
        <f t="shared" si="0"/>
        <v>45239</v>
      </c>
      <c r="G11" s="3">
        <v>10</v>
      </c>
      <c r="H11" s="3" t="s">
        <v>131</v>
      </c>
      <c r="I11" s="1">
        <f t="shared" si="2"/>
        <v>45603</v>
      </c>
      <c r="J11" s="3">
        <v>10</v>
      </c>
      <c r="K11" s="3" t="s">
        <v>149</v>
      </c>
      <c r="L11" s="1">
        <f t="shared" si="3"/>
        <v>45967</v>
      </c>
      <c r="N11" s="1">
        <f t="shared" si="5"/>
        <v>46338</v>
      </c>
      <c r="P11" s="1">
        <f t="shared" si="4"/>
        <v>46702</v>
      </c>
    </row>
    <row r="12" spans="1:16" ht="42.5" thickBot="1" x14ac:dyDescent="0.4">
      <c r="A12" s="3">
        <v>11</v>
      </c>
      <c r="B12" s="3" t="s">
        <v>97</v>
      </c>
      <c r="C12" s="1">
        <f t="shared" si="1"/>
        <v>44882</v>
      </c>
      <c r="D12" s="3">
        <v>11</v>
      </c>
      <c r="E12" s="3" t="s">
        <v>115</v>
      </c>
      <c r="F12" s="1">
        <f t="shared" si="0"/>
        <v>45246</v>
      </c>
      <c r="G12" s="3">
        <v>11</v>
      </c>
      <c r="H12" s="3" t="s">
        <v>132</v>
      </c>
      <c r="I12" s="1">
        <f t="shared" si="2"/>
        <v>45610</v>
      </c>
      <c r="J12" s="3">
        <v>11</v>
      </c>
      <c r="K12" s="3" t="s">
        <v>150</v>
      </c>
      <c r="L12" s="1">
        <f t="shared" si="3"/>
        <v>45974</v>
      </c>
      <c r="N12" s="1">
        <f t="shared" si="5"/>
        <v>46345</v>
      </c>
      <c r="P12" s="1">
        <f t="shared" si="4"/>
        <v>46709</v>
      </c>
    </row>
    <row r="13" spans="1:16" ht="70.5" thickBot="1" x14ac:dyDescent="0.4">
      <c r="A13" s="3" t="s">
        <v>98</v>
      </c>
      <c r="B13" s="3" t="s">
        <v>99</v>
      </c>
      <c r="C13" s="1">
        <f t="shared" si="1"/>
        <v>44889</v>
      </c>
      <c r="D13" s="3" t="s">
        <v>98</v>
      </c>
      <c r="E13" s="3" t="s">
        <v>116</v>
      </c>
      <c r="F13" s="1">
        <f t="shared" ref="F13:F15" si="6">F12+7</f>
        <v>45253</v>
      </c>
      <c r="G13" s="3">
        <v>12</v>
      </c>
      <c r="H13" s="3" t="s">
        <v>133</v>
      </c>
      <c r="I13" s="1">
        <f t="shared" si="2"/>
        <v>45617</v>
      </c>
      <c r="J13" s="3">
        <v>12</v>
      </c>
      <c r="K13" s="3" t="s">
        <v>151</v>
      </c>
      <c r="L13" s="1">
        <f t="shared" si="3"/>
        <v>45981</v>
      </c>
      <c r="N13" s="1">
        <f t="shared" si="5"/>
        <v>46352</v>
      </c>
      <c r="P13" s="1">
        <f t="shared" si="4"/>
        <v>46716</v>
      </c>
    </row>
    <row r="14" spans="1:16" ht="70.5" thickBot="1" x14ac:dyDescent="0.4">
      <c r="A14" s="3">
        <v>13</v>
      </c>
      <c r="B14" s="3" t="s">
        <v>100</v>
      </c>
      <c r="C14" s="1">
        <f t="shared" si="1"/>
        <v>44896</v>
      </c>
      <c r="D14" s="3">
        <v>13</v>
      </c>
      <c r="E14" s="3" t="s">
        <v>117</v>
      </c>
      <c r="F14" s="1">
        <f t="shared" si="6"/>
        <v>45260</v>
      </c>
      <c r="G14" s="3" t="s">
        <v>134</v>
      </c>
      <c r="H14" s="3" t="s">
        <v>135</v>
      </c>
      <c r="I14" s="1">
        <f>I13+7</f>
        <v>45624</v>
      </c>
      <c r="J14" s="3" t="s">
        <v>134</v>
      </c>
      <c r="K14" s="3" t="s">
        <v>152</v>
      </c>
      <c r="L14" s="1">
        <f t="shared" si="3"/>
        <v>45988</v>
      </c>
      <c r="N14" s="1">
        <f t="shared" si="5"/>
        <v>46359</v>
      </c>
      <c r="P14" s="1">
        <f t="shared" si="4"/>
        <v>46723</v>
      </c>
    </row>
    <row r="15" spans="1:16" ht="42.5" thickBot="1" x14ac:dyDescent="0.4">
      <c r="A15" s="3">
        <v>14</v>
      </c>
      <c r="B15" s="3" t="s">
        <v>101</v>
      </c>
      <c r="C15" s="1">
        <f t="shared" si="1"/>
        <v>44903</v>
      </c>
      <c r="D15" s="3">
        <v>14</v>
      </c>
      <c r="E15" s="3" t="s">
        <v>118</v>
      </c>
      <c r="F15" s="1">
        <f t="shared" si="6"/>
        <v>45267</v>
      </c>
      <c r="G15" s="3">
        <v>14</v>
      </c>
      <c r="H15" s="3" t="s">
        <v>136</v>
      </c>
      <c r="I15" s="1">
        <f t="shared" si="2"/>
        <v>45631</v>
      </c>
      <c r="J15" s="3">
        <v>14</v>
      </c>
      <c r="K15" s="3" t="s">
        <v>153</v>
      </c>
      <c r="L15" s="1">
        <f t="shared" si="3"/>
        <v>45995</v>
      </c>
      <c r="N15" s="1">
        <f t="shared" si="5"/>
        <v>46366</v>
      </c>
      <c r="P15" s="1">
        <f t="shared" si="4"/>
        <v>46730</v>
      </c>
    </row>
    <row r="16" spans="1:16" ht="42.5" thickBot="1" x14ac:dyDescent="0.4">
      <c r="A16" s="3">
        <v>15</v>
      </c>
      <c r="B16" s="3" t="s">
        <v>102</v>
      </c>
      <c r="C16" s="1">
        <f t="shared" si="1"/>
        <v>44910</v>
      </c>
      <c r="D16" s="3">
        <v>15</v>
      </c>
      <c r="E16" s="3" t="s">
        <v>119</v>
      </c>
      <c r="F16" s="1">
        <f>F15+7</f>
        <v>45274</v>
      </c>
      <c r="G16" s="3">
        <v>15</v>
      </c>
      <c r="H16" s="3" t="s">
        <v>137</v>
      </c>
      <c r="I16" s="1">
        <f t="shared" si="2"/>
        <v>45638</v>
      </c>
      <c r="J16" s="3">
        <v>15</v>
      </c>
      <c r="K16" s="3" t="s">
        <v>154</v>
      </c>
      <c r="L16" s="1">
        <f t="shared" si="3"/>
        <v>46002</v>
      </c>
      <c r="N16" s="1">
        <f t="shared" si="5"/>
        <v>46373</v>
      </c>
      <c r="P16" s="1">
        <f t="shared" si="4"/>
        <v>46737</v>
      </c>
    </row>
    <row r="17" spans="1:16" ht="42.5" thickBot="1" x14ac:dyDescent="0.4">
      <c r="A17" s="3">
        <v>16</v>
      </c>
      <c r="B17" s="3" t="s">
        <v>103</v>
      </c>
      <c r="C17" s="1">
        <f t="shared" si="1"/>
        <v>44917</v>
      </c>
      <c r="D17" s="3">
        <v>16</v>
      </c>
      <c r="E17" s="3" t="s">
        <v>120</v>
      </c>
      <c r="F17" s="1">
        <f>F16+7</f>
        <v>45281</v>
      </c>
      <c r="G17" s="3">
        <v>16</v>
      </c>
      <c r="H17" s="3" t="s">
        <v>138</v>
      </c>
      <c r="I17" s="1">
        <f t="shared" si="2"/>
        <v>45645</v>
      </c>
      <c r="J17" s="3">
        <v>16</v>
      </c>
      <c r="K17" s="3" t="s">
        <v>155</v>
      </c>
      <c r="L17" s="1">
        <f t="shared" si="3"/>
        <v>46009</v>
      </c>
      <c r="N17" s="1">
        <f t="shared" si="5"/>
        <v>46380</v>
      </c>
      <c r="P17" s="1">
        <f t="shared" si="4"/>
        <v>46744</v>
      </c>
    </row>
    <row r="18" spans="1:16" ht="42.5" thickBot="1" x14ac:dyDescent="0.4">
      <c r="A18" s="3">
        <v>17</v>
      </c>
      <c r="B18" s="3" t="s">
        <v>104</v>
      </c>
      <c r="C18" s="1">
        <f t="shared" si="1"/>
        <v>44924</v>
      </c>
      <c r="D18" s="3">
        <v>17</v>
      </c>
      <c r="E18" s="3" t="s">
        <v>121</v>
      </c>
      <c r="F18" s="1">
        <f t="shared" ref="F18" si="7">F17+7</f>
        <v>45288</v>
      </c>
      <c r="G18" s="3">
        <v>17</v>
      </c>
      <c r="H18" s="3" t="s">
        <v>139</v>
      </c>
      <c r="I18" s="1">
        <f t="shared" si="2"/>
        <v>45652</v>
      </c>
      <c r="J18" s="3">
        <v>17</v>
      </c>
      <c r="K18" s="3" t="s">
        <v>156</v>
      </c>
      <c r="L18" s="1">
        <f t="shared" si="3"/>
        <v>46016</v>
      </c>
      <c r="N18" s="1">
        <f t="shared" si="5"/>
        <v>46387</v>
      </c>
      <c r="P18" s="1">
        <f t="shared" si="4"/>
        <v>46751</v>
      </c>
    </row>
    <row r="19" spans="1:16" x14ac:dyDescent="0.35">
      <c r="I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7EB7-61B1-4EC3-A7D3-576B391228B7}">
  <dimension ref="A1:C16"/>
  <sheetViews>
    <sheetView tabSelected="1" workbookViewId="0">
      <selection activeCell="A17" sqref="A17"/>
    </sheetView>
  </sheetViews>
  <sheetFormatPr baseColWidth="10" defaultRowHeight="14.5" x14ac:dyDescent="0.35"/>
  <cols>
    <col min="1" max="1" width="14.54296875" customWidth="1"/>
    <col min="2" max="2" width="105.453125" customWidth="1"/>
  </cols>
  <sheetData>
    <row r="1" spans="1:3" x14ac:dyDescent="0.35">
      <c r="A1" s="10" t="s">
        <v>187</v>
      </c>
      <c r="B1" s="10" t="s">
        <v>188</v>
      </c>
    </row>
    <row r="2" spans="1:3" x14ac:dyDescent="0.35">
      <c r="A2" s="11" t="s">
        <v>1</v>
      </c>
      <c r="B2" s="12">
        <v>46016</v>
      </c>
      <c r="C2" s="9"/>
    </row>
    <row r="3" spans="1:3" x14ac:dyDescent="0.35">
      <c r="A3" s="11" t="s">
        <v>2</v>
      </c>
      <c r="B3" s="12">
        <v>46015</v>
      </c>
      <c r="C3" s="9"/>
    </row>
    <row r="4" spans="1:3" x14ac:dyDescent="0.35">
      <c r="A4" s="11" t="s">
        <v>3</v>
      </c>
      <c r="B4" s="13" t="s">
        <v>193</v>
      </c>
      <c r="C4" s="9"/>
    </row>
    <row r="5" spans="1:3" x14ac:dyDescent="0.35">
      <c r="A5" s="11" t="s">
        <v>4</v>
      </c>
      <c r="B5" s="13" t="s">
        <v>181</v>
      </c>
      <c r="C5" s="9"/>
    </row>
    <row r="6" spans="1:3" x14ac:dyDescent="0.35">
      <c r="A6" s="11" t="s">
        <v>5</v>
      </c>
      <c r="B6" s="13" t="s">
        <v>182</v>
      </c>
      <c r="C6" s="9"/>
    </row>
    <row r="7" spans="1:3" x14ac:dyDescent="0.35">
      <c r="A7" s="11" t="s">
        <v>62</v>
      </c>
      <c r="B7" s="13" t="s">
        <v>189</v>
      </c>
      <c r="C7" s="9"/>
    </row>
    <row r="8" spans="1:3" x14ac:dyDescent="0.35">
      <c r="A8" s="11" t="s">
        <v>80</v>
      </c>
      <c r="B8" s="13" t="s">
        <v>183</v>
      </c>
      <c r="C8" s="9"/>
    </row>
    <row r="9" spans="1:3" x14ac:dyDescent="0.35">
      <c r="A9" s="11" t="s">
        <v>82</v>
      </c>
      <c r="B9" s="13" t="s">
        <v>184</v>
      </c>
      <c r="C9" s="9"/>
    </row>
    <row r="10" spans="1:3" x14ac:dyDescent="0.35">
      <c r="A10" s="11" t="s">
        <v>83</v>
      </c>
      <c r="B10" s="13" t="s">
        <v>191</v>
      </c>
      <c r="C10" s="9"/>
    </row>
    <row r="11" spans="1:3" x14ac:dyDescent="0.35">
      <c r="A11" s="11" t="s">
        <v>180</v>
      </c>
      <c r="B11" s="13" t="s">
        <v>192</v>
      </c>
      <c r="C11" s="9"/>
    </row>
    <row r="12" spans="1:3" x14ac:dyDescent="0.35">
      <c r="A12" s="11" t="s">
        <v>84</v>
      </c>
      <c r="B12" s="13" t="s">
        <v>190</v>
      </c>
      <c r="C12" s="9"/>
    </row>
    <row r="13" spans="1:3" x14ac:dyDescent="0.35">
      <c r="A13" s="11" t="s">
        <v>178</v>
      </c>
      <c r="B13" s="13" t="s">
        <v>185</v>
      </c>
      <c r="C13" s="9"/>
    </row>
    <row r="14" spans="1:3" x14ac:dyDescent="0.35">
      <c r="A14" s="11" t="s">
        <v>179</v>
      </c>
      <c r="B14" s="13" t="s">
        <v>186</v>
      </c>
      <c r="C14" s="9"/>
    </row>
    <row r="15" spans="1:3" x14ac:dyDescent="0.35">
      <c r="A15" s="14" t="s">
        <v>194</v>
      </c>
    </row>
    <row r="16" spans="1:3" x14ac:dyDescent="0.35">
      <c r="A16" s="14" t="s">
        <v>195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dates</vt:lpstr>
      <vt:lpstr>nba</vt:lpstr>
      <vt:lpstr>mnf</vt:lpstr>
      <vt:lpstr>tnf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Olivares Alvarado</dc:creator>
  <cp:lastModifiedBy>Monica Olivares Alvarado</cp:lastModifiedBy>
  <dcterms:created xsi:type="dcterms:W3CDTF">2025-10-28T16:11:17Z</dcterms:created>
  <dcterms:modified xsi:type="dcterms:W3CDTF">2025-11-18T18:41:13Z</dcterms:modified>
</cp:coreProperties>
</file>